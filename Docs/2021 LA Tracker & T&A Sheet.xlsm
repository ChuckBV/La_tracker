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64CA151-5A5B-428A-3C10-775976492406}"/>
  <workbookPr date1904="1" codeName="ThisWorkbook"/>
  <mc:AlternateContent xmlns:mc="http://schemas.openxmlformats.org/markup-compatibility/2006">
    <mc:Choice Requires="x15">
      <x15ac:absPath xmlns:x15ac="http://schemas.microsoft.com/office/spreadsheetml/2010/11/ac" url="\\arscapar3fp2\homes\Allen.Perez\My Documents\"/>
    </mc:Choice>
  </mc:AlternateContent>
  <bookViews>
    <workbookView xWindow="0" yWindow="0" windowWidth="8339" windowHeight="9203" tabRatio="812" activeTab="2"/>
  </bookViews>
  <sheets>
    <sheet name="Instructions" sheetId="31" r:id="rId1"/>
    <sheet name="LATracker Instructions" sheetId="77" r:id="rId2"/>
    <sheet name="LATrackerALL" sheetId="76" r:id="rId3"/>
    <sheet name="LATrackerReport" sheetId="75" r:id="rId4"/>
    <sheet name="Leave Record" sheetId="36" r:id="rId5"/>
    <sheet name="P1" sheetId="29" r:id="rId6"/>
    <sheet name="P2" sheetId="42" r:id="rId7"/>
    <sheet name="P3" sheetId="48" r:id="rId8"/>
    <sheet name="P4" sheetId="49" r:id="rId9"/>
    <sheet name="P5" sheetId="50" r:id="rId10"/>
    <sheet name="P6" sheetId="51" r:id="rId11"/>
    <sheet name="P7" sheetId="52" r:id="rId12"/>
    <sheet name="P8" sheetId="53" r:id="rId13"/>
    <sheet name="P9" sheetId="54" r:id="rId14"/>
    <sheet name="P10" sheetId="56" r:id="rId15"/>
    <sheet name="P11" sheetId="57" r:id="rId16"/>
    <sheet name="P12" sheetId="58" r:id="rId17"/>
    <sheet name="P13" sheetId="59" r:id="rId18"/>
    <sheet name="P14" sheetId="60" r:id="rId19"/>
    <sheet name="P15" sheetId="61" r:id="rId20"/>
    <sheet name="P16" sheetId="62" r:id="rId21"/>
    <sheet name="P17" sheetId="63" r:id="rId22"/>
    <sheet name="P18" sheetId="64" r:id="rId23"/>
    <sheet name="P19" sheetId="65" r:id="rId24"/>
    <sheet name="P20" sheetId="66" r:id="rId25"/>
    <sheet name="P21" sheetId="67" r:id="rId26"/>
    <sheet name="P22" sheetId="68" r:id="rId27"/>
    <sheet name="P23" sheetId="69" r:id="rId28"/>
    <sheet name="P24" sheetId="70" r:id="rId29"/>
    <sheet name="P25" sheetId="71" r:id="rId30"/>
    <sheet name="P26" sheetId="72" r:id="rId31"/>
  </sheets>
  <definedNames>
    <definedName name="_xlnm._FilterDatabase" localSheetId="3" hidden="1">LATrackerReport!$B$7:$E$372</definedName>
    <definedName name="_xlnm.Print_Area" localSheetId="0">Instructions!$A$2:$C$89</definedName>
    <definedName name="_xlnm.Print_Area" localSheetId="5">'P1'!$A$14:$Z$63</definedName>
    <definedName name="_xlnm.Print_Area" localSheetId="14">'P10'!$A$14:$Z$63</definedName>
    <definedName name="_xlnm.Print_Area" localSheetId="15">'P11'!$A$14:$Z$63</definedName>
    <definedName name="_xlnm.Print_Area" localSheetId="16">'P12'!$A$14:$Z$63</definedName>
    <definedName name="_xlnm.Print_Area" localSheetId="17">'P13'!$A$14:$Z$63</definedName>
    <definedName name="_xlnm.Print_Area" localSheetId="18">'P14'!$A$14:$Z$63</definedName>
    <definedName name="_xlnm.Print_Area" localSheetId="19">'P15'!$A$14:$Z$63</definedName>
    <definedName name="_xlnm.Print_Area" localSheetId="20">'P16'!$A$14:$Z$63</definedName>
    <definedName name="_xlnm.Print_Area" localSheetId="21">'P17'!$A$14:$Z$63</definedName>
    <definedName name="_xlnm.Print_Area" localSheetId="22">'P18'!$A$14:$Z$63</definedName>
    <definedName name="_xlnm.Print_Area" localSheetId="23">'P19'!$A$14:$Z$63</definedName>
    <definedName name="_xlnm.Print_Area" localSheetId="6">'P2'!$A$14:$Z$63</definedName>
    <definedName name="_xlnm.Print_Area" localSheetId="24">'P20'!$A$14:$Z$63</definedName>
    <definedName name="_xlnm.Print_Area" localSheetId="25">'P21'!$A$14:$Z$63</definedName>
    <definedName name="_xlnm.Print_Area" localSheetId="26">'P22'!$A$14:$Z$63</definedName>
    <definedName name="_xlnm.Print_Area" localSheetId="27">'P23'!$A$14:$Z$63</definedName>
    <definedName name="_xlnm.Print_Area" localSheetId="28">'P24'!$A$14:$Z$63</definedName>
    <definedName name="_xlnm.Print_Area" localSheetId="29">'P25'!$A$14:$Z$63</definedName>
    <definedName name="_xlnm.Print_Area" localSheetId="30">'P26'!$A$14:$Z$63</definedName>
    <definedName name="_xlnm.Print_Area" localSheetId="7">'P3'!$A$14:$Z$63</definedName>
    <definedName name="_xlnm.Print_Area" localSheetId="8">'P4'!$A$14:$Z$63</definedName>
    <definedName name="_xlnm.Print_Area" localSheetId="9">'P5'!$A$14:$Z$63</definedName>
    <definedName name="_xlnm.Print_Area" localSheetId="10">'P6'!$A$14:$Z$63</definedName>
    <definedName name="_xlnm.Print_Area" localSheetId="11">'P7'!$A$14:$Z$63</definedName>
    <definedName name="_xlnm.Print_Area" localSheetId="12">'P8'!$A$14:$Z$63</definedName>
    <definedName name="_xlnm.Print_Area" localSheetId="13">'P9'!$A$14:$Z$63</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72" i="75" l="1"/>
  <c r="L4" i="75"/>
  <c r="E4" i="75"/>
  <c r="E5" i="75"/>
  <c r="K5" i="76"/>
  <c r="L5" i="75" s="1"/>
  <c r="E372" i="75"/>
  <c r="D372" i="75"/>
  <c r="H9" i="31" l="1"/>
  <c r="Y55" i="29" l="1"/>
  <c r="Y55" i="42" s="1"/>
  <c r="Y55" i="48" s="1"/>
  <c r="Y55" i="49" s="1"/>
  <c r="Y55" i="50" s="1"/>
  <c r="Y55" i="51" s="1"/>
  <c r="Y55" i="52" s="1"/>
  <c r="Y55" i="53" s="1"/>
  <c r="Y55" i="54" s="1"/>
  <c r="Y55" i="56" s="1"/>
  <c r="Y55" i="57" s="1"/>
  <c r="Y55" i="58" s="1"/>
  <c r="Y55" i="59" s="1"/>
  <c r="Y55" i="60" s="1"/>
  <c r="Y55" i="61" s="1"/>
  <c r="Y55" i="62" s="1"/>
  <c r="Y55" i="63" s="1"/>
  <c r="Y55" i="64" s="1"/>
  <c r="Y55" i="65" s="1"/>
  <c r="Y55" i="66" s="1"/>
  <c r="Y55" i="67" s="1"/>
  <c r="Y55" i="68" s="1"/>
  <c r="Y55" i="69" s="1"/>
  <c r="Y55" i="70" s="1"/>
  <c r="Y55" i="71" s="1"/>
  <c r="Y55" i="72" s="1"/>
  <c r="Y54" i="29"/>
  <c r="Y54" i="42" s="1"/>
  <c r="Y54" i="48" s="1"/>
  <c r="Y54" i="49" s="1"/>
  <c r="Y54" i="50" s="1"/>
  <c r="Y54" i="51" s="1"/>
  <c r="Y54" i="52" s="1"/>
  <c r="Y54" i="53" s="1"/>
  <c r="Y54" i="54" s="1"/>
  <c r="Y54" i="56" s="1"/>
  <c r="Y54" i="57" s="1"/>
  <c r="Y54" i="58" s="1"/>
  <c r="Y54" i="59" s="1"/>
  <c r="Y54" i="60" s="1"/>
  <c r="Y54" i="61" s="1"/>
  <c r="Y54" i="62" s="1"/>
  <c r="Y54" i="63" s="1"/>
  <c r="Y54" i="64" s="1"/>
  <c r="Y54" i="65" s="1"/>
  <c r="Y54" i="66" s="1"/>
  <c r="Y54" i="67" s="1"/>
  <c r="Y54" i="68" s="1"/>
  <c r="Y54" i="69" s="1"/>
  <c r="Y54" i="70" s="1"/>
  <c r="Y54" i="71" s="1"/>
  <c r="Y54" i="72" s="1"/>
  <c r="A37" i="36"/>
  <c r="V32" i="36"/>
  <c r="V31" i="36"/>
  <c r="V30" i="36"/>
  <c r="V29" i="36"/>
  <c r="V28" i="36"/>
  <c r="V27" i="36"/>
  <c r="V26" i="36"/>
  <c r="V25" i="36"/>
  <c r="V24" i="36"/>
  <c r="V23" i="36"/>
  <c r="V22" i="36"/>
  <c r="V21" i="36"/>
  <c r="V20" i="36"/>
  <c r="V19" i="36"/>
  <c r="V18" i="36"/>
  <c r="V17" i="36"/>
  <c r="V16" i="36"/>
  <c r="V15" i="36"/>
  <c r="V14" i="36"/>
  <c r="V13" i="36"/>
  <c r="V12" i="36"/>
  <c r="V11" i="36"/>
  <c r="V10" i="36"/>
  <c r="V9" i="36"/>
  <c r="V8" i="36"/>
  <c r="V7" i="36"/>
  <c r="V44" i="72" l="1"/>
  <c r="U44" i="72"/>
  <c r="T44" i="72"/>
  <c r="S44" i="72"/>
  <c r="R44" i="72"/>
  <c r="Q44" i="72"/>
  <c r="P44" i="72"/>
  <c r="M44" i="72"/>
  <c r="L44" i="72"/>
  <c r="J44" i="72"/>
  <c r="I44" i="72"/>
  <c r="H44" i="72"/>
  <c r="G44" i="72"/>
  <c r="W42" i="72"/>
  <c r="N42" i="72"/>
  <c r="W41" i="72"/>
  <c r="N41" i="72"/>
  <c r="W40" i="72"/>
  <c r="W39" i="72"/>
  <c r="N39" i="72"/>
  <c r="W38" i="72"/>
  <c r="N38" i="72"/>
  <c r="Y38" i="72" s="1"/>
  <c r="S56" i="72" s="1"/>
  <c r="T32" i="36" s="1"/>
  <c r="W37" i="72"/>
  <c r="N37" i="72"/>
  <c r="W36" i="72"/>
  <c r="N36" i="72"/>
  <c r="Y36" i="72" s="1"/>
  <c r="S54" i="72" s="1"/>
  <c r="O32" i="36" s="1"/>
  <c r="W35" i="72"/>
  <c r="N35" i="72"/>
  <c r="W34" i="72"/>
  <c r="N34" i="72"/>
  <c r="W33" i="72"/>
  <c r="N33" i="72"/>
  <c r="W32" i="72"/>
  <c r="N32" i="72"/>
  <c r="Y32" i="72" s="1"/>
  <c r="S53" i="72" s="1"/>
  <c r="L32" i="36" s="1"/>
  <c r="W28" i="72"/>
  <c r="N28" i="72"/>
  <c r="W27" i="72"/>
  <c r="N27" i="72"/>
  <c r="Y27" i="72" s="1"/>
  <c r="R54" i="72" s="1"/>
  <c r="N32" i="36" s="1"/>
  <c r="W26" i="72"/>
  <c r="N26" i="72"/>
  <c r="W25" i="72"/>
  <c r="N25" i="72"/>
  <c r="B16" i="72"/>
  <c r="V12" i="72"/>
  <c r="V24" i="72" s="1"/>
  <c r="U12" i="72"/>
  <c r="U24" i="72" s="1"/>
  <c r="T12" i="72"/>
  <c r="T24" i="72" s="1"/>
  <c r="S12" i="72"/>
  <c r="S24" i="72" s="1"/>
  <c r="R12" i="72"/>
  <c r="R24" i="72" s="1"/>
  <c r="Q12" i="72"/>
  <c r="Q24" i="72" s="1"/>
  <c r="P12" i="72"/>
  <c r="P24" i="72" s="1"/>
  <c r="M12" i="72"/>
  <c r="M24" i="72" s="1"/>
  <c r="L12" i="72"/>
  <c r="L24" i="72" s="1"/>
  <c r="K12" i="72"/>
  <c r="K24" i="72" s="1"/>
  <c r="J12" i="72"/>
  <c r="J24" i="72" s="1"/>
  <c r="I12" i="72"/>
  <c r="I24" i="72" s="1"/>
  <c r="H12" i="72"/>
  <c r="H24" i="72" s="1"/>
  <c r="G12" i="72"/>
  <c r="G24" i="72" s="1"/>
  <c r="V2" i="72"/>
  <c r="U2" i="72"/>
  <c r="T2" i="72"/>
  <c r="S2" i="72"/>
  <c r="R2" i="72"/>
  <c r="Q2" i="72"/>
  <c r="P2" i="72"/>
  <c r="M2" i="72"/>
  <c r="L2" i="72"/>
  <c r="K2" i="72"/>
  <c r="J2" i="72"/>
  <c r="I2" i="72"/>
  <c r="H2" i="72"/>
  <c r="G2" i="72"/>
  <c r="V44" i="71"/>
  <c r="U44" i="71"/>
  <c r="S44" i="71"/>
  <c r="R44" i="71"/>
  <c r="Q44" i="71"/>
  <c r="P44" i="71"/>
  <c r="M44" i="71"/>
  <c r="L44" i="71"/>
  <c r="K44" i="71"/>
  <c r="J44" i="71"/>
  <c r="I44" i="71"/>
  <c r="H44" i="71"/>
  <c r="G44" i="71"/>
  <c r="W42" i="71"/>
  <c r="N42" i="71"/>
  <c r="W41" i="71"/>
  <c r="N41" i="71"/>
  <c r="N40" i="71"/>
  <c r="W39" i="71"/>
  <c r="N39" i="71"/>
  <c r="W38" i="71"/>
  <c r="N38" i="71"/>
  <c r="W37" i="71"/>
  <c r="N37" i="71"/>
  <c r="W36" i="71"/>
  <c r="N36" i="71"/>
  <c r="W35" i="71"/>
  <c r="N35" i="71"/>
  <c r="W34" i="71"/>
  <c r="N34" i="71"/>
  <c r="W33" i="71"/>
  <c r="N33" i="71"/>
  <c r="W32" i="71"/>
  <c r="N32" i="71"/>
  <c r="W28" i="71"/>
  <c r="N28" i="71"/>
  <c r="W27" i="71"/>
  <c r="N27" i="71"/>
  <c r="W26" i="71"/>
  <c r="N26" i="71"/>
  <c r="W25" i="71"/>
  <c r="N25" i="71"/>
  <c r="B16" i="71"/>
  <c r="V12" i="71"/>
  <c r="V24" i="71" s="1"/>
  <c r="U12" i="71"/>
  <c r="U24" i="71" s="1"/>
  <c r="T12" i="71"/>
  <c r="T24" i="71" s="1"/>
  <c r="S12" i="71"/>
  <c r="S24" i="71" s="1"/>
  <c r="R12" i="71"/>
  <c r="R24" i="71" s="1"/>
  <c r="Q12" i="71"/>
  <c r="Q24" i="71" s="1"/>
  <c r="P12" i="71"/>
  <c r="P24" i="71" s="1"/>
  <c r="M12" i="71"/>
  <c r="M24" i="71" s="1"/>
  <c r="L12" i="71"/>
  <c r="L24" i="71" s="1"/>
  <c r="K12" i="71"/>
  <c r="K24" i="71" s="1"/>
  <c r="J12" i="71"/>
  <c r="J24" i="71" s="1"/>
  <c r="I12" i="71"/>
  <c r="I24" i="71" s="1"/>
  <c r="H12" i="71"/>
  <c r="H24" i="71" s="1"/>
  <c r="G12" i="71"/>
  <c r="G24" i="71" s="1"/>
  <c r="V2" i="71"/>
  <c r="U2" i="71"/>
  <c r="T2" i="71"/>
  <c r="S2" i="71"/>
  <c r="R2" i="71"/>
  <c r="Q2" i="71"/>
  <c r="P2" i="71"/>
  <c r="M2" i="71"/>
  <c r="L2" i="71"/>
  <c r="K2" i="71"/>
  <c r="J2" i="71"/>
  <c r="I2" i="71"/>
  <c r="H2" i="71"/>
  <c r="G2" i="71"/>
  <c r="V44" i="70"/>
  <c r="U44" i="70"/>
  <c r="T44" i="70"/>
  <c r="S44" i="70"/>
  <c r="R44" i="70"/>
  <c r="Q44" i="70"/>
  <c r="P44" i="70"/>
  <c r="M44" i="70"/>
  <c r="L44" i="70"/>
  <c r="K44" i="70"/>
  <c r="J44" i="70"/>
  <c r="I44" i="70"/>
  <c r="H44" i="70"/>
  <c r="G44" i="70"/>
  <c r="W42" i="70"/>
  <c r="N42" i="70"/>
  <c r="W41" i="70"/>
  <c r="N41" i="70"/>
  <c r="Y41" i="70" s="1"/>
  <c r="W40" i="70"/>
  <c r="N40" i="70"/>
  <c r="W39" i="70"/>
  <c r="N39" i="70"/>
  <c r="W38" i="70"/>
  <c r="N38" i="70"/>
  <c r="W37" i="70"/>
  <c r="N37" i="70"/>
  <c r="Y37" i="70" s="1"/>
  <c r="S55" i="70" s="1"/>
  <c r="R30" i="36" s="1"/>
  <c r="W36" i="70"/>
  <c r="N36" i="70"/>
  <c r="W35" i="70"/>
  <c r="N35" i="70"/>
  <c r="W34" i="70"/>
  <c r="N34" i="70"/>
  <c r="W33" i="70"/>
  <c r="N33" i="70"/>
  <c r="Y33" i="70" s="1"/>
  <c r="S51" i="70" s="1"/>
  <c r="F30" i="36" s="1"/>
  <c r="W32" i="70"/>
  <c r="N32" i="70"/>
  <c r="W28" i="70"/>
  <c r="N28" i="70"/>
  <c r="W27" i="70"/>
  <c r="N27" i="70"/>
  <c r="W26" i="70"/>
  <c r="N26" i="70"/>
  <c r="Y26" i="70" s="1"/>
  <c r="R53" i="70" s="1"/>
  <c r="K30" i="36" s="1"/>
  <c r="W25" i="70"/>
  <c r="N25" i="70"/>
  <c r="B16" i="70"/>
  <c r="V12" i="70"/>
  <c r="V24" i="70" s="1"/>
  <c r="U12" i="70"/>
  <c r="U24" i="70" s="1"/>
  <c r="T12" i="70"/>
  <c r="T24" i="70" s="1"/>
  <c r="S12" i="70"/>
  <c r="S24" i="70" s="1"/>
  <c r="R12" i="70"/>
  <c r="R24" i="70" s="1"/>
  <c r="Q12" i="70"/>
  <c r="Q24" i="70" s="1"/>
  <c r="P12" i="70"/>
  <c r="P24" i="70" s="1"/>
  <c r="M12" i="70"/>
  <c r="M24" i="70" s="1"/>
  <c r="L12" i="70"/>
  <c r="L24" i="70" s="1"/>
  <c r="K12" i="70"/>
  <c r="K24" i="70" s="1"/>
  <c r="J12" i="70"/>
  <c r="J24" i="70" s="1"/>
  <c r="I12" i="70"/>
  <c r="I24" i="70" s="1"/>
  <c r="H12" i="70"/>
  <c r="H24" i="70" s="1"/>
  <c r="G12" i="70"/>
  <c r="G24" i="70" s="1"/>
  <c r="V2" i="70"/>
  <c r="U2" i="70"/>
  <c r="T2" i="70"/>
  <c r="S2" i="70"/>
  <c r="R2" i="70"/>
  <c r="Q2" i="70"/>
  <c r="P2" i="70"/>
  <c r="M2" i="70"/>
  <c r="L2" i="70"/>
  <c r="K2" i="70"/>
  <c r="J2" i="70"/>
  <c r="I2" i="70"/>
  <c r="H2" i="70"/>
  <c r="G2" i="70"/>
  <c r="V44" i="69"/>
  <c r="U44" i="69"/>
  <c r="S44" i="69"/>
  <c r="R44" i="69"/>
  <c r="Q44" i="69"/>
  <c r="P44" i="69"/>
  <c r="M44" i="69"/>
  <c r="L44" i="69"/>
  <c r="K44" i="69"/>
  <c r="J44" i="69"/>
  <c r="I44" i="69"/>
  <c r="H44" i="69"/>
  <c r="G44" i="69"/>
  <c r="W42" i="69"/>
  <c r="N42" i="69"/>
  <c r="W41" i="69"/>
  <c r="N41" i="69"/>
  <c r="N40" i="69"/>
  <c r="W39" i="69"/>
  <c r="N39" i="69"/>
  <c r="W38" i="69"/>
  <c r="N38" i="69"/>
  <c r="W37" i="69"/>
  <c r="N37" i="69"/>
  <c r="W36" i="69"/>
  <c r="N36" i="69"/>
  <c r="W35" i="69"/>
  <c r="N35" i="69"/>
  <c r="W34" i="69"/>
  <c r="N34" i="69"/>
  <c r="W33" i="69"/>
  <c r="N33" i="69"/>
  <c r="W32" i="69"/>
  <c r="N32" i="69"/>
  <c r="W28" i="69"/>
  <c r="N28" i="69"/>
  <c r="W27" i="69"/>
  <c r="N27" i="69"/>
  <c r="W26" i="69"/>
  <c r="N26" i="69"/>
  <c r="W25" i="69"/>
  <c r="N25" i="69"/>
  <c r="B16" i="69"/>
  <c r="V12" i="69"/>
  <c r="V24" i="69" s="1"/>
  <c r="U12" i="69"/>
  <c r="U24" i="69" s="1"/>
  <c r="T12" i="69"/>
  <c r="T24" i="69" s="1"/>
  <c r="S12" i="69"/>
  <c r="S24" i="69" s="1"/>
  <c r="R12" i="69"/>
  <c r="R24" i="69" s="1"/>
  <c r="Q12" i="69"/>
  <c r="Q24" i="69" s="1"/>
  <c r="P12" i="69"/>
  <c r="P24" i="69" s="1"/>
  <c r="M12" i="69"/>
  <c r="M24" i="69" s="1"/>
  <c r="L12" i="69"/>
  <c r="L24" i="69" s="1"/>
  <c r="K12" i="69"/>
  <c r="K24" i="69" s="1"/>
  <c r="J12" i="69"/>
  <c r="J24" i="69" s="1"/>
  <c r="I12" i="69"/>
  <c r="I24" i="69" s="1"/>
  <c r="H12" i="69"/>
  <c r="H24" i="69" s="1"/>
  <c r="G12" i="69"/>
  <c r="G24" i="69" s="1"/>
  <c r="V2" i="69"/>
  <c r="U2" i="69"/>
  <c r="T2" i="69"/>
  <c r="S2" i="69"/>
  <c r="R2" i="69"/>
  <c r="Q2" i="69"/>
  <c r="P2" i="69"/>
  <c r="M2" i="69"/>
  <c r="L2" i="69"/>
  <c r="K2" i="69"/>
  <c r="J2" i="69"/>
  <c r="I2" i="69"/>
  <c r="H2" i="69"/>
  <c r="G2" i="69"/>
  <c r="V44" i="68"/>
  <c r="U44" i="68"/>
  <c r="T44" i="68"/>
  <c r="S44" i="68"/>
  <c r="Q44" i="68"/>
  <c r="P44" i="68"/>
  <c r="M44" i="68"/>
  <c r="L44" i="68"/>
  <c r="K44" i="68"/>
  <c r="J44" i="68"/>
  <c r="I44" i="68"/>
  <c r="H44" i="68"/>
  <c r="G44" i="68"/>
  <c r="W42" i="68"/>
  <c r="N42" i="68"/>
  <c r="W41" i="68"/>
  <c r="N41" i="68"/>
  <c r="N40" i="68"/>
  <c r="W39" i="68"/>
  <c r="N39" i="68"/>
  <c r="W38" i="68"/>
  <c r="N38" i="68"/>
  <c r="W37" i="68"/>
  <c r="N37" i="68"/>
  <c r="W36" i="68"/>
  <c r="N36" i="68"/>
  <c r="Y36" i="68" s="1"/>
  <c r="S54" i="68" s="1"/>
  <c r="O28" i="36" s="1"/>
  <c r="W35" i="68"/>
  <c r="N35" i="68"/>
  <c r="W34" i="68"/>
  <c r="N34" i="68"/>
  <c r="W33" i="68"/>
  <c r="N33" i="68"/>
  <c r="W32" i="68"/>
  <c r="N32" i="68"/>
  <c r="Y32" i="68" s="1"/>
  <c r="S53" i="68" s="1"/>
  <c r="L28" i="36" s="1"/>
  <c r="W28" i="68"/>
  <c r="N28" i="68"/>
  <c r="W27" i="68"/>
  <c r="N27" i="68"/>
  <c r="W26" i="68"/>
  <c r="N26" i="68"/>
  <c r="W25" i="68"/>
  <c r="N25" i="68"/>
  <c r="Y25" i="68" s="1"/>
  <c r="B16" i="68"/>
  <c r="V12" i="68"/>
  <c r="V24" i="68" s="1"/>
  <c r="U12" i="68"/>
  <c r="U24" i="68" s="1"/>
  <c r="T12" i="68"/>
  <c r="T24" i="68" s="1"/>
  <c r="S12" i="68"/>
  <c r="S24" i="68" s="1"/>
  <c r="R12" i="68"/>
  <c r="R24" i="68" s="1"/>
  <c r="Q12" i="68"/>
  <c r="Q24" i="68" s="1"/>
  <c r="P12" i="68"/>
  <c r="P24" i="68" s="1"/>
  <c r="M12" i="68"/>
  <c r="M24" i="68" s="1"/>
  <c r="L12" i="68"/>
  <c r="L24" i="68" s="1"/>
  <c r="K12" i="68"/>
  <c r="K24" i="68" s="1"/>
  <c r="J12" i="68"/>
  <c r="J24" i="68" s="1"/>
  <c r="I12" i="68"/>
  <c r="I24" i="68" s="1"/>
  <c r="H12" i="68"/>
  <c r="H24" i="68" s="1"/>
  <c r="G12" i="68"/>
  <c r="G24" i="68" s="1"/>
  <c r="V2" i="68"/>
  <c r="U2" i="68"/>
  <c r="T2" i="68"/>
  <c r="S2" i="68"/>
  <c r="R2" i="68"/>
  <c r="Q2" i="68"/>
  <c r="P2" i="68"/>
  <c r="M2" i="68"/>
  <c r="L2" i="68"/>
  <c r="K2" i="68"/>
  <c r="J2" i="68"/>
  <c r="I2" i="68"/>
  <c r="H2" i="68"/>
  <c r="G2" i="68"/>
  <c r="V44" i="67"/>
  <c r="U44" i="67"/>
  <c r="T44" i="67"/>
  <c r="S44" i="67"/>
  <c r="R44" i="67"/>
  <c r="Q44" i="67"/>
  <c r="P44" i="67"/>
  <c r="M44" i="67"/>
  <c r="L44" i="67"/>
  <c r="K44" i="67"/>
  <c r="J44" i="67"/>
  <c r="I44" i="67"/>
  <c r="H44" i="67"/>
  <c r="G44" i="67"/>
  <c r="W42" i="67"/>
  <c r="N42" i="67"/>
  <c r="W41" i="67"/>
  <c r="N41" i="67"/>
  <c r="W40" i="67"/>
  <c r="N40" i="67"/>
  <c r="W39" i="67"/>
  <c r="N39" i="67"/>
  <c r="W38" i="67"/>
  <c r="N38" i="67"/>
  <c r="W37" i="67"/>
  <c r="N37" i="67"/>
  <c r="W36" i="67"/>
  <c r="N36" i="67"/>
  <c r="W35" i="67"/>
  <c r="N35" i="67"/>
  <c r="W34" i="67"/>
  <c r="N34" i="67"/>
  <c r="W33" i="67"/>
  <c r="N33" i="67"/>
  <c r="W32" i="67"/>
  <c r="N32" i="67"/>
  <c r="W28" i="67"/>
  <c r="N28" i="67"/>
  <c r="W27" i="67"/>
  <c r="N27" i="67"/>
  <c r="W26" i="67"/>
  <c r="N26" i="67"/>
  <c r="W25" i="67"/>
  <c r="N25" i="67"/>
  <c r="B16" i="67"/>
  <c r="V12" i="67"/>
  <c r="V24" i="67" s="1"/>
  <c r="U12" i="67"/>
  <c r="U24" i="67" s="1"/>
  <c r="T12" i="67"/>
  <c r="T24" i="67" s="1"/>
  <c r="S12" i="67"/>
  <c r="S24" i="67" s="1"/>
  <c r="R12" i="67"/>
  <c r="R24" i="67" s="1"/>
  <c r="Q12" i="67"/>
  <c r="Q24" i="67" s="1"/>
  <c r="P12" i="67"/>
  <c r="P24" i="67" s="1"/>
  <c r="M12" i="67"/>
  <c r="M24" i="67" s="1"/>
  <c r="L12" i="67"/>
  <c r="L24" i="67" s="1"/>
  <c r="K12" i="67"/>
  <c r="K24" i="67" s="1"/>
  <c r="J12" i="67"/>
  <c r="J24" i="67" s="1"/>
  <c r="I12" i="67"/>
  <c r="I24" i="67" s="1"/>
  <c r="H12" i="67"/>
  <c r="H24" i="67" s="1"/>
  <c r="G12" i="67"/>
  <c r="G24" i="67" s="1"/>
  <c r="V2" i="67"/>
  <c r="U2" i="67"/>
  <c r="T2" i="67"/>
  <c r="S2" i="67"/>
  <c r="R2" i="67"/>
  <c r="Q2" i="67"/>
  <c r="P2" i="67"/>
  <c r="M2" i="67"/>
  <c r="L2" i="67"/>
  <c r="K2" i="67"/>
  <c r="J2" i="67"/>
  <c r="I2" i="67"/>
  <c r="H2" i="67"/>
  <c r="G2" i="67"/>
  <c r="V44" i="66"/>
  <c r="U44" i="66"/>
  <c r="T44" i="66"/>
  <c r="S44" i="66"/>
  <c r="R44" i="66"/>
  <c r="P44" i="66"/>
  <c r="M44" i="66"/>
  <c r="L44" i="66"/>
  <c r="K44" i="66"/>
  <c r="J44" i="66"/>
  <c r="I44" i="66"/>
  <c r="H44" i="66"/>
  <c r="G44" i="66"/>
  <c r="W42" i="66"/>
  <c r="N42" i="66"/>
  <c r="W41" i="66"/>
  <c r="N41" i="66"/>
  <c r="N40" i="66"/>
  <c r="W39" i="66"/>
  <c r="N39" i="66"/>
  <c r="W38" i="66"/>
  <c r="N38" i="66"/>
  <c r="W37" i="66"/>
  <c r="N37" i="66"/>
  <c r="W36" i="66"/>
  <c r="N36" i="66"/>
  <c r="W35" i="66"/>
  <c r="N35" i="66"/>
  <c r="Y35" i="66" s="1"/>
  <c r="S57" i="66" s="1"/>
  <c r="W34" i="66"/>
  <c r="N34" i="66"/>
  <c r="W33" i="66"/>
  <c r="N33" i="66"/>
  <c r="W32" i="66"/>
  <c r="N32" i="66"/>
  <c r="W28" i="66"/>
  <c r="N28" i="66"/>
  <c r="W27" i="66"/>
  <c r="N27" i="66"/>
  <c r="W26" i="66"/>
  <c r="N26" i="66"/>
  <c r="W25" i="66"/>
  <c r="N25" i="66"/>
  <c r="B16" i="66"/>
  <c r="V12" i="66"/>
  <c r="V24" i="66" s="1"/>
  <c r="U12" i="66"/>
  <c r="U24" i="66" s="1"/>
  <c r="T12" i="66"/>
  <c r="T24" i="66" s="1"/>
  <c r="S12" i="66"/>
  <c r="S24" i="66" s="1"/>
  <c r="R12" i="66"/>
  <c r="R24" i="66" s="1"/>
  <c r="Q12" i="66"/>
  <c r="Q24" i="66" s="1"/>
  <c r="P12" i="66"/>
  <c r="P24" i="66" s="1"/>
  <c r="M12" i="66"/>
  <c r="M24" i="66" s="1"/>
  <c r="L12" i="66"/>
  <c r="L24" i="66" s="1"/>
  <c r="K12" i="66"/>
  <c r="K24" i="66" s="1"/>
  <c r="J12" i="66"/>
  <c r="J24" i="66" s="1"/>
  <c r="I12" i="66"/>
  <c r="I24" i="66" s="1"/>
  <c r="H12" i="66"/>
  <c r="H24" i="66" s="1"/>
  <c r="G12" i="66"/>
  <c r="G24" i="66" s="1"/>
  <c r="V2" i="66"/>
  <c r="U2" i="66"/>
  <c r="T2" i="66"/>
  <c r="S2" i="66"/>
  <c r="R2" i="66"/>
  <c r="Q2" i="66"/>
  <c r="P2" i="66"/>
  <c r="M2" i="66"/>
  <c r="L2" i="66"/>
  <c r="K2" i="66"/>
  <c r="J2" i="66"/>
  <c r="I2" i="66"/>
  <c r="H2" i="66"/>
  <c r="G2" i="66"/>
  <c r="V44" i="65"/>
  <c r="U44" i="65"/>
  <c r="T44" i="65"/>
  <c r="S44" i="65"/>
  <c r="R44" i="65"/>
  <c r="Q44" i="65"/>
  <c r="P44" i="65"/>
  <c r="M44" i="65"/>
  <c r="L44" i="65"/>
  <c r="K44" i="65"/>
  <c r="J44" i="65"/>
  <c r="I44" i="65"/>
  <c r="H44" i="65"/>
  <c r="G44" i="65"/>
  <c r="W42" i="65"/>
  <c r="N42" i="65"/>
  <c r="W41" i="65"/>
  <c r="N41" i="65"/>
  <c r="W40" i="65"/>
  <c r="N40" i="65"/>
  <c r="W39" i="65"/>
  <c r="N39" i="65"/>
  <c r="W38" i="65"/>
  <c r="N38" i="65"/>
  <c r="W37" i="65"/>
  <c r="N37" i="65"/>
  <c r="W36" i="65"/>
  <c r="N36" i="65"/>
  <c r="W35" i="65"/>
  <c r="N35" i="65"/>
  <c r="W34" i="65"/>
  <c r="N34" i="65"/>
  <c r="W33" i="65"/>
  <c r="N33" i="65"/>
  <c r="Y33" i="65" s="1"/>
  <c r="S51" i="65" s="1"/>
  <c r="F25" i="36" s="1"/>
  <c r="W32" i="65"/>
  <c r="N32" i="65"/>
  <c r="W28" i="65"/>
  <c r="N28" i="65"/>
  <c r="W27" i="65"/>
  <c r="N27" i="65"/>
  <c r="W26" i="65"/>
  <c r="N26" i="65"/>
  <c r="W25" i="65"/>
  <c r="N25" i="65"/>
  <c r="B16" i="65"/>
  <c r="V12" i="65"/>
  <c r="V24" i="65" s="1"/>
  <c r="U12" i="65"/>
  <c r="U24" i="65" s="1"/>
  <c r="T12" i="65"/>
  <c r="T24" i="65" s="1"/>
  <c r="S12" i="65"/>
  <c r="S24" i="65" s="1"/>
  <c r="R12" i="65"/>
  <c r="R24" i="65" s="1"/>
  <c r="Q12" i="65"/>
  <c r="Q24" i="65" s="1"/>
  <c r="P12" i="65"/>
  <c r="P24" i="65" s="1"/>
  <c r="M12" i="65"/>
  <c r="M24" i="65" s="1"/>
  <c r="L12" i="65"/>
  <c r="L24" i="65" s="1"/>
  <c r="K12" i="65"/>
  <c r="K24" i="65" s="1"/>
  <c r="J12" i="65"/>
  <c r="J24" i="65" s="1"/>
  <c r="I12" i="65"/>
  <c r="I24" i="65" s="1"/>
  <c r="H12" i="65"/>
  <c r="H24" i="65" s="1"/>
  <c r="G12" i="65"/>
  <c r="G24" i="65" s="1"/>
  <c r="V2" i="65"/>
  <c r="U2" i="65"/>
  <c r="T2" i="65"/>
  <c r="S2" i="65"/>
  <c r="R2" i="65"/>
  <c r="Q2" i="65"/>
  <c r="P2" i="65"/>
  <c r="M2" i="65"/>
  <c r="L2" i="65"/>
  <c r="K2" i="65"/>
  <c r="J2" i="65"/>
  <c r="I2" i="65"/>
  <c r="H2" i="65"/>
  <c r="G2" i="65"/>
  <c r="V44" i="64"/>
  <c r="U44" i="64"/>
  <c r="T44" i="64"/>
  <c r="S44" i="64"/>
  <c r="R44" i="64"/>
  <c r="Q44" i="64"/>
  <c r="P44" i="64"/>
  <c r="M44" i="64"/>
  <c r="L44" i="64"/>
  <c r="K44" i="64"/>
  <c r="J44" i="64"/>
  <c r="I44" i="64"/>
  <c r="H44" i="64"/>
  <c r="G44" i="64"/>
  <c r="W42" i="64"/>
  <c r="N42" i="64"/>
  <c r="W41" i="64"/>
  <c r="N41" i="64"/>
  <c r="W40" i="64"/>
  <c r="N40" i="64"/>
  <c r="W39" i="64"/>
  <c r="N39" i="64"/>
  <c r="W38" i="64"/>
  <c r="N38" i="64"/>
  <c r="W37" i="64"/>
  <c r="N37" i="64"/>
  <c r="W36" i="64"/>
  <c r="N36" i="64"/>
  <c r="Y36" i="64" s="1"/>
  <c r="S54" i="64" s="1"/>
  <c r="O24" i="36" s="1"/>
  <c r="W35" i="64"/>
  <c r="N35" i="64"/>
  <c r="W34" i="64"/>
  <c r="N34" i="64"/>
  <c r="W33" i="64"/>
  <c r="N33" i="64"/>
  <c r="W32" i="64"/>
  <c r="N32" i="64"/>
  <c r="W28" i="64"/>
  <c r="N28" i="64"/>
  <c r="W27" i="64"/>
  <c r="N27" i="64"/>
  <c r="W26" i="64"/>
  <c r="N26" i="64"/>
  <c r="W25" i="64"/>
  <c r="N25" i="64"/>
  <c r="B16" i="64"/>
  <c r="V12" i="64"/>
  <c r="V24" i="64" s="1"/>
  <c r="U12" i="64"/>
  <c r="U24" i="64" s="1"/>
  <c r="T12" i="64"/>
  <c r="T24" i="64" s="1"/>
  <c r="S12" i="64"/>
  <c r="S24" i="64" s="1"/>
  <c r="R12" i="64"/>
  <c r="R24" i="64" s="1"/>
  <c r="Q12" i="64"/>
  <c r="Q24" i="64" s="1"/>
  <c r="P12" i="64"/>
  <c r="P24" i="64" s="1"/>
  <c r="M12" i="64"/>
  <c r="M24" i="64" s="1"/>
  <c r="L12" i="64"/>
  <c r="L24" i="64" s="1"/>
  <c r="K12" i="64"/>
  <c r="K24" i="64" s="1"/>
  <c r="J12" i="64"/>
  <c r="J24" i="64" s="1"/>
  <c r="I12" i="64"/>
  <c r="I24" i="64" s="1"/>
  <c r="H12" i="64"/>
  <c r="H24" i="64" s="1"/>
  <c r="G12" i="64"/>
  <c r="G24" i="64" s="1"/>
  <c r="V2" i="64"/>
  <c r="U2" i="64"/>
  <c r="T2" i="64"/>
  <c r="S2" i="64"/>
  <c r="R2" i="64"/>
  <c r="Q2" i="64"/>
  <c r="P2" i="64"/>
  <c r="M2" i="64"/>
  <c r="L2" i="64"/>
  <c r="K2" i="64"/>
  <c r="J2" i="64"/>
  <c r="I2" i="64"/>
  <c r="H2" i="64"/>
  <c r="G2" i="64"/>
  <c r="V44" i="63"/>
  <c r="U44" i="63"/>
  <c r="T44" i="63"/>
  <c r="S44" i="63"/>
  <c r="R44" i="63"/>
  <c r="P44" i="63"/>
  <c r="M44" i="63"/>
  <c r="L44" i="63"/>
  <c r="K44" i="63"/>
  <c r="J44" i="63"/>
  <c r="I44" i="63"/>
  <c r="H44" i="63"/>
  <c r="G44" i="63"/>
  <c r="W42" i="63"/>
  <c r="N42" i="63"/>
  <c r="W41" i="63"/>
  <c r="N41" i="63"/>
  <c r="N40" i="63"/>
  <c r="W39" i="63"/>
  <c r="N39" i="63"/>
  <c r="W38" i="63"/>
  <c r="N38" i="63"/>
  <c r="W37" i="63"/>
  <c r="N37" i="63"/>
  <c r="W36" i="63"/>
  <c r="N36" i="63"/>
  <c r="W35" i="63"/>
  <c r="N35" i="63"/>
  <c r="W34" i="63"/>
  <c r="N34" i="63"/>
  <c r="W33" i="63"/>
  <c r="N33" i="63"/>
  <c r="W32" i="63"/>
  <c r="N32" i="63"/>
  <c r="W28" i="63"/>
  <c r="N28" i="63"/>
  <c r="W27" i="63"/>
  <c r="N27" i="63"/>
  <c r="W26" i="63"/>
  <c r="N26" i="63"/>
  <c r="W25" i="63"/>
  <c r="N25" i="63"/>
  <c r="B16" i="63"/>
  <c r="V12" i="63"/>
  <c r="V24" i="63" s="1"/>
  <c r="U12" i="63"/>
  <c r="U24" i="63" s="1"/>
  <c r="T12" i="63"/>
  <c r="T24" i="63" s="1"/>
  <c r="S12" i="63"/>
  <c r="S24" i="63" s="1"/>
  <c r="R12" i="63"/>
  <c r="R24" i="63" s="1"/>
  <c r="Q12" i="63"/>
  <c r="Q24" i="63" s="1"/>
  <c r="P12" i="63"/>
  <c r="P24" i="63" s="1"/>
  <c r="M12" i="63"/>
  <c r="M24" i="63" s="1"/>
  <c r="L12" i="63"/>
  <c r="L24" i="63" s="1"/>
  <c r="K12" i="63"/>
  <c r="K24" i="63" s="1"/>
  <c r="J12" i="63"/>
  <c r="J24" i="63" s="1"/>
  <c r="I12" i="63"/>
  <c r="I24" i="63" s="1"/>
  <c r="H12" i="63"/>
  <c r="H24" i="63" s="1"/>
  <c r="G12" i="63"/>
  <c r="G24" i="63" s="1"/>
  <c r="V2" i="63"/>
  <c r="U2" i="63"/>
  <c r="T2" i="63"/>
  <c r="S2" i="63"/>
  <c r="R2" i="63"/>
  <c r="Q2" i="63"/>
  <c r="P2" i="63"/>
  <c r="M2" i="63"/>
  <c r="L2" i="63"/>
  <c r="K2" i="63"/>
  <c r="J2" i="63"/>
  <c r="I2" i="63"/>
  <c r="H2" i="63"/>
  <c r="G2" i="63"/>
  <c r="V44" i="62"/>
  <c r="U44" i="62"/>
  <c r="T44" i="62"/>
  <c r="S44" i="62"/>
  <c r="R44" i="62"/>
  <c r="Q44" i="62"/>
  <c r="P44" i="62"/>
  <c r="M44" i="62"/>
  <c r="L44" i="62"/>
  <c r="K44" i="62"/>
  <c r="J44" i="62"/>
  <c r="I44" i="62"/>
  <c r="H44" i="62"/>
  <c r="G44" i="62"/>
  <c r="W42" i="62"/>
  <c r="N42" i="62"/>
  <c r="W41" i="62"/>
  <c r="N41" i="62"/>
  <c r="Y41" i="62" s="1"/>
  <c r="W40" i="62"/>
  <c r="N40" i="62"/>
  <c r="W39" i="62"/>
  <c r="N39" i="62"/>
  <c r="W38" i="62"/>
  <c r="N38" i="62"/>
  <c r="W37" i="62"/>
  <c r="N37" i="62"/>
  <c r="Y37" i="62" s="1"/>
  <c r="S55" i="62" s="1"/>
  <c r="R22" i="36" s="1"/>
  <c r="W36" i="62"/>
  <c r="N36" i="62"/>
  <c r="W35" i="62"/>
  <c r="N35" i="62"/>
  <c r="W34" i="62"/>
  <c r="N34" i="62"/>
  <c r="W33" i="62"/>
  <c r="N33" i="62"/>
  <c r="Y33" i="62" s="1"/>
  <c r="S51" i="62" s="1"/>
  <c r="F22" i="36" s="1"/>
  <c r="W32" i="62"/>
  <c r="N32" i="62"/>
  <c r="W28" i="62"/>
  <c r="N28" i="62"/>
  <c r="W27" i="62"/>
  <c r="N27" i="62"/>
  <c r="W26" i="62"/>
  <c r="N26" i="62"/>
  <c r="Y26" i="62" s="1"/>
  <c r="R53" i="62" s="1"/>
  <c r="K22" i="36" s="1"/>
  <c r="W25" i="62"/>
  <c r="N25" i="62"/>
  <c r="B16" i="62"/>
  <c r="V12" i="62"/>
  <c r="V24" i="62" s="1"/>
  <c r="U12" i="62"/>
  <c r="U24" i="62" s="1"/>
  <c r="T12" i="62"/>
  <c r="T24" i="62" s="1"/>
  <c r="S12" i="62"/>
  <c r="S24" i="62" s="1"/>
  <c r="R12" i="62"/>
  <c r="R24" i="62" s="1"/>
  <c r="Q12" i="62"/>
  <c r="Q24" i="62" s="1"/>
  <c r="P12" i="62"/>
  <c r="P24" i="62" s="1"/>
  <c r="M12" i="62"/>
  <c r="M24" i="62" s="1"/>
  <c r="L12" i="62"/>
  <c r="L24" i="62" s="1"/>
  <c r="K12" i="62"/>
  <c r="K24" i="62" s="1"/>
  <c r="J12" i="62"/>
  <c r="J24" i="62" s="1"/>
  <c r="I12" i="62"/>
  <c r="I24" i="62" s="1"/>
  <c r="H12" i="62"/>
  <c r="H24" i="62" s="1"/>
  <c r="G12" i="62"/>
  <c r="G24" i="62" s="1"/>
  <c r="V2" i="62"/>
  <c r="U2" i="62"/>
  <c r="T2" i="62"/>
  <c r="S2" i="62"/>
  <c r="R2" i="62"/>
  <c r="Q2" i="62"/>
  <c r="P2" i="62"/>
  <c r="M2" i="62"/>
  <c r="L2" i="62"/>
  <c r="K2" i="62"/>
  <c r="J2" i="62"/>
  <c r="I2" i="62"/>
  <c r="H2" i="62"/>
  <c r="G2" i="62"/>
  <c r="V44" i="61"/>
  <c r="U44" i="61"/>
  <c r="T44" i="61"/>
  <c r="S44" i="61"/>
  <c r="R44" i="61"/>
  <c r="Q44" i="61"/>
  <c r="P44" i="61"/>
  <c r="M44" i="61"/>
  <c r="L44" i="61"/>
  <c r="K44" i="61"/>
  <c r="J44" i="61"/>
  <c r="I44" i="61"/>
  <c r="H44" i="61"/>
  <c r="G44" i="61"/>
  <c r="W42" i="61"/>
  <c r="N42" i="61"/>
  <c r="W41" i="61"/>
  <c r="N41" i="61"/>
  <c r="W40" i="61"/>
  <c r="N40" i="61"/>
  <c r="W39" i="61"/>
  <c r="N39" i="61"/>
  <c r="W38" i="61"/>
  <c r="N38" i="61"/>
  <c r="W37" i="61"/>
  <c r="N37" i="61"/>
  <c r="W36" i="61"/>
  <c r="N36" i="61"/>
  <c r="W35" i="61"/>
  <c r="N35" i="61"/>
  <c r="W34" i="61"/>
  <c r="N34" i="61"/>
  <c r="W33" i="61"/>
  <c r="N33" i="61"/>
  <c r="W32" i="61"/>
  <c r="N32" i="61"/>
  <c r="W28" i="61"/>
  <c r="N28" i="61"/>
  <c r="W27" i="61"/>
  <c r="N27" i="61"/>
  <c r="W26" i="61"/>
  <c r="N26" i="61"/>
  <c r="W25" i="61"/>
  <c r="N25" i="61"/>
  <c r="B16" i="61"/>
  <c r="V12" i="61"/>
  <c r="V24" i="61" s="1"/>
  <c r="U12" i="61"/>
  <c r="U24" i="61" s="1"/>
  <c r="T12" i="61"/>
  <c r="T24" i="61" s="1"/>
  <c r="S12" i="61"/>
  <c r="S24" i="61" s="1"/>
  <c r="R12" i="61"/>
  <c r="R24" i="61" s="1"/>
  <c r="Q12" i="61"/>
  <c r="Q24" i="61" s="1"/>
  <c r="P12" i="61"/>
  <c r="P24" i="61" s="1"/>
  <c r="M12" i="61"/>
  <c r="M24" i="61" s="1"/>
  <c r="L12" i="61"/>
  <c r="L24" i="61" s="1"/>
  <c r="K12" i="61"/>
  <c r="K24" i="61" s="1"/>
  <c r="J12" i="61"/>
  <c r="J24" i="61" s="1"/>
  <c r="I12" i="61"/>
  <c r="I24" i="61" s="1"/>
  <c r="H12" i="61"/>
  <c r="H24" i="61" s="1"/>
  <c r="G12" i="61"/>
  <c r="G24" i="61" s="1"/>
  <c r="V2" i="61"/>
  <c r="U2" i="61"/>
  <c r="T2" i="61"/>
  <c r="S2" i="61"/>
  <c r="R2" i="61"/>
  <c r="Q2" i="61"/>
  <c r="P2" i="61"/>
  <c r="M2" i="61"/>
  <c r="L2" i="61"/>
  <c r="K2" i="61"/>
  <c r="J2" i="61"/>
  <c r="I2" i="61"/>
  <c r="H2" i="61"/>
  <c r="G2" i="61"/>
  <c r="V44" i="60"/>
  <c r="U44" i="60"/>
  <c r="T44" i="60"/>
  <c r="S44" i="60"/>
  <c r="R44" i="60"/>
  <c r="Q44" i="60"/>
  <c r="P44" i="60"/>
  <c r="M44" i="60"/>
  <c r="L44" i="60"/>
  <c r="K44" i="60"/>
  <c r="J44" i="60"/>
  <c r="I44" i="60"/>
  <c r="H44" i="60"/>
  <c r="G44" i="60"/>
  <c r="W42" i="60"/>
  <c r="N42" i="60"/>
  <c r="Y42" i="60" s="1"/>
  <c r="W41" i="60"/>
  <c r="N41" i="60"/>
  <c r="W40" i="60"/>
  <c r="N40" i="60"/>
  <c r="W39" i="60"/>
  <c r="N39" i="60"/>
  <c r="W38" i="60"/>
  <c r="N38" i="60"/>
  <c r="Y38" i="60" s="1"/>
  <c r="S56" i="60" s="1"/>
  <c r="T20" i="36" s="1"/>
  <c r="W37" i="60"/>
  <c r="N37" i="60"/>
  <c r="W36" i="60"/>
  <c r="N36" i="60"/>
  <c r="W35" i="60"/>
  <c r="N35" i="60"/>
  <c r="W34" i="60"/>
  <c r="N34" i="60"/>
  <c r="Y34" i="60" s="1"/>
  <c r="W33" i="60"/>
  <c r="N33" i="60"/>
  <c r="W32" i="60"/>
  <c r="N32" i="60"/>
  <c r="W28" i="60"/>
  <c r="N28" i="60"/>
  <c r="W27" i="60"/>
  <c r="N27" i="60"/>
  <c r="Y27" i="60" s="1"/>
  <c r="R54" i="60" s="1"/>
  <c r="N20" i="36" s="1"/>
  <c r="W26" i="60"/>
  <c r="N26" i="60"/>
  <c r="W25" i="60"/>
  <c r="N25" i="60"/>
  <c r="B16" i="60"/>
  <c r="V12" i="60"/>
  <c r="V24" i="60" s="1"/>
  <c r="U12" i="60"/>
  <c r="U24" i="60" s="1"/>
  <c r="T12" i="60"/>
  <c r="T24" i="60" s="1"/>
  <c r="S12" i="60"/>
  <c r="S24" i="60" s="1"/>
  <c r="R12" i="60"/>
  <c r="R24" i="60" s="1"/>
  <c r="Q12" i="60"/>
  <c r="Q24" i="60" s="1"/>
  <c r="P12" i="60"/>
  <c r="P24" i="60" s="1"/>
  <c r="M12" i="60"/>
  <c r="M24" i="60" s="1"/>
  <c r="L12" i="60"/>
  <c r="L24" i="60" s="1"/>
  <c r="K12" i="60"/>
  <c r="K24" i="60" s="1"/>
  <c r="J12" i="60"/>
  <c r="J24" i="60" s="1"/>
  <c r="I12" i="60"/>
  <c r="I24" i="60" s="1"/>
  <c r="H12" i="60"/>
  <c r="H24" i="60" s="1"/>
  <c r="G12" i="60"/>
  <c r="G24" i="60" s="1"/>
  <c r="V2" i="60"/>
  <c r="U2" i="60"/>
  <c r="T2" i="60"/>
  <c r="S2" i="60"/>
  <c r="R2" i="60"/>
  <c r="Q2" i="60"/>
  <c r="P2" i="60"/>
  <c r="M2" i="60"/>
  <c r="L2" i="60"/>
  <c r="K2" i="60"/>
  <c r="J2" i="60"/>
  <c r="I2" i="60"/>
  <c r="H2" i="60"/>
  <c r="G2" i="60"/>
  <c r="V44" i="59"/>
  <c r="U44" i="59"/>
  <c r="T44" i="59"/>
  <c r="S44" i="59"/>
  <c r="R44" i="59"/>
  <c r="Q44" i="59"/>
  <c r="P44" i="59"/>
  <c r="M44" i="59"/>
  <c r="K44" i="59"/>
  <c r="J44" i="59"/>
  <c r="I44" i="59"/>
  <c r="H44" i="59"/>
  <c r="G44" i="59"/>
  <c r="W42" i="59"/>
  <c r="N42" i="59"/>
  <c r="W41" i="59"/>
  <c r="N41" i="59"/>
  <c r="W40" i="59"/>
  <c r="W39" i="59"/>
  <c r="N39" i="59"/>
  <c r="W38" i="59"/>
  <c r="N38" i="59"/>
  <c r="W37" i="59"/>
  <c r="N37" i="59"/>
  <c r="W36" i="59"/>
  <c r="N36" i="59"/>
  <c r="W35" i="59"/>
  <c r="N35" i="59"/>
  <c r="W34" i="59"/>
  <c r="N34" i="59"/>
  <c r="W33" i="59"/>
  <c r="N33" i="59"/>
  <c r="W32" i="59"/>
  <c r="N32" i="59"/>
  <c r="W28" i="59"/>
  <c r="N28" i="59"/>
  <c r="W27" i="59"/>
  <c r="N27" i="59"/>
  <c r="W26" i="59"/>
  <c r="N26" i="59"/>
  <c r="W25" i="59"/>
  <c r="N25" i="59"/>
  <c r="B16" i="59"/>
  <c r="V12" i="59"/>
  <c r="V24" i="59" s="1"/>
  <c r="U12" i="59"/>
  <c r="U24" i="59" s="1"/>
  <c r="T12" i="59"/>
  <c r="T24" i="59" s="1"/>
  <c r="S12" i="59"/>
  <c r="S24" i="59" s="1"/>
  <c r="R12" i="59"/>
  <c r="R24" i="59" s="1"/>
  <c r="Q12" i="59"/>
  <c r="Q24" i="59" s="1"/>
  <c r="P12" i="59"/>
  <c r="P24" i="59" s="1"/>
  <c r="M12" i="59"/>
  <c r="M24" i="59" s="1"/>
  <c r="L12" i="59"/>
  <c r="L24" i="59" s="1"/>
  <c r="K12" i="59"/>
  <c r="K24" i="59" s="1"/>
  <c r="J12" i="59"/>
  <c r="J24" i="59" s="1"/>
  <c r="I12" i="59"/>
  <c r="I24" i="59" s="1"/>
  <c r="H12" i="59"/>
  <c r="H24" i="59" s="1"/>
  <c r="G12" i="59"/>
  <c r="G24" i="59" s="1"/>
  <c r="V2" i="59"/>
  <c r="U2" i="59"/>
  <c r="T2" i="59"/>
  <c r="S2" i="59"/>
  <c r="R2" i="59"/>
  <c r="Q2" i="59"/>
  <c r="P2" i="59"/>
  <c r="M2" i="59"/>
  <c r="L2" i="59"/>
  <c r="K2" i="59"/>
  <c r="J2" i="59"/>
  <c r="I2" i="59"/>
  <c r="H2" i="59"/>
  <c r="G2" i="59"/>
  <c r="V44" i="58"/>
  <c r="U44" i="58"/>
  <c r="T44" i="58"/>
  <c r="S44" i="58"/>
  <c r="R44" i="58"/>
  <c r="Q44" i="58"/>
  <c r="P44" i="58"/>
  <c r="M44" i="58"/>
  <c r="L44" i="58"/>
  <c r="K44" i="58"/>
  <c r="J44" i="58"/>
  <c r="I44" i="58"/>
  <c r="H44" i="58"/>
  <c r="G44" i="58"/>
  <c r="W42" i="58"/>
  <c r="N42" i="58"/>
  <c r="W41" i="58"/>
  <c r="N41" i="58"/>
  <c r="W40" i="58"/>
  <c r="N40" i="58"/>
  <c r="W39" i="58"/>
  <c r="N39" i="58"/>
  <c r="W38" i="58"/>
  <c r="N38" i="58"/>
  <c r="W37" i="58"/>
  <c r="N37" i="58"/>
  <c r="W36" i="58"/>
  <c r="N36" i="58"/>
  <c r="W35" i="58"/>
  <c r="N35" i="58"/>
  <c r="W34" i="58"/>
  <c r="N34" i="58"/>
  <c r="W33" i="58"/>
  <c r="N33" i="58"/>
  <c r="W32" i="58"/>
  <c r="N32" i="58"/>
  <c r="W28" i="58"/>
  <c r="N28" i="58"/>
  <c r="W27" i="58"/>
  <c r="N27" i="58"/>
  <c r="W26" i="58"/>
  <c r="N26" i="58"/>
  <c r="W25" i="58"/>
  <c r="N25" i="58"/>
  <c r="B16" i="58"/>
  <c r="V12" i="58"/>
  <c r="V24" i="58" s="1"/>
  <c r="U12" i="58"/>
  <c r="U24" i="58" s="1"/>
  <c r="T12" i="58"/>
  <c r="T24" i="58" s="1"/>
  <c r="S12" i="58"/>
  <c r="S24" i="58" s="1"/>
  <c r="R12" i="58"/>
  <c r="R24" i="58" s="1"/>
  <c r="Q12" i="58"/>
  <c r="Q24" i="58" s="1"/>
  <c r="P12" i="58"/>
  <c r="P24" i="58" s="1"/>
  <c r="M12" i="58"/>
  <c r="M24" i="58" s="1"/>
  <c r="L12" i="58"/>
  <c r="L24" i="58" s="1"/>
  <c r="K12" i="58"/>
  <c r="K24" i="58" s="1"/>
  <c r="J12" i="58"/>
  <c r="J24" i="58" s="1"/>
  <c r="I12" i="58"/>
  <c r="I24" i="58" s="1"/>
  <c r="H12" i="58"/>
  <c r="H24" i="58" s="1"/>
  <c r="G12" i="58"/>
  <c r="G24" i="58" s="1"/>
  <c r="V2" i="58"/>
  <c r="U2" i="58"/>
  <c r="T2" i="58"/>
  <c r="S2" i="58"/>
  <c r="R2" i="58"/>
  <c r="Q2" i="58"/>
  <c r="P2" i="58"/>
  <c r="M2" i="58"/>
  <c r="L2" i="58"/>
  <c r="K2" i="58"/>
  <c r="J2" i="58"/>
  <c r="I2" i="58"/>
  <c r="H2" i="58"/>
  <c r="G2" i="58"/>
  <c r="V44" i="57"/>
  <c r="U44" i="57"/>
  <c r="T44" i="57"/>
  <c r="S44" i="57"/>
  <c r="R44" i="57"/>
  <c r="Q44" i="57"/>
  <c r="P44" i="57"/>
  <c r="M44" i="57"/>
  <c r="L44" i="57"/>
  <c r="K44" i="57"/>
  <c r="J44" i="57"/>
  <c r="I44" i="57"/>
  <c r="H44" i="57"/>
  <c r="G44" i="57"/>
  <c r="W42" i="57"/>
  <c r="N42" i="57"/>
  <c r="W41" i="57"/>
  <c r="N41" i="57"/>
  <c r="W40" i="57"/>
  <c r="N40" i="57"/>
  <c r="W39" i="57"/>
  <c r="N39" i="57"/>
  <c r="W38" i="57"/>
  <c r="N38" i="57"/>
  <c r="W37" i="57"/>
  <c r="N37" i="57"/>
  <c r="W36" i="57"/>
  <c r="N36" i="57"/>
  <c r="W35" i="57"/>
  <c r="N35" i="57"/>
  <c r="W34" i="57"/>
  <c r="N34" i="57"/>
  <c r="W33" i="57"/>
  <c r="N33" i="57"/>
  <c r="W32" i="57"/>
  <c r="N32" i="57"/>
  <c r="W28" i="57"/>
  <c r="N28" i="57"/>
  <c r="W27" i="57"/>
  <c r="N27" i="57"/>
  <c r="W26" i="57"/>
  <c r="N26" i="57"/>
  <c r="W25" i="57"/>
  <c r="N25" i="57"/>
  <c r="B16" i="57"/>
  <c r="V12" i="57"/>
  <c r="V24" i="57" s="1"/>
  <c r="U12" i="57"/>
  <c r="U24" i="57" s="1"/>
  <c r="T12" i="57"/>
  <c r="T24" i="57" s="1"/>
  <c r="S12" i="57"/>
  <c r="S24" i="57" s="1"/>
  <c r="R12" i="57"/>
  <c r="R24" i="57" s="1"/>
  <c r="Q12" i="57"/>
  <c r="Q24" i="57" s="1"/>
  <c r="P12" i="57"/>
  <c r="P24" i="57" s="1"/>
  <c r="M12" i="57"/>
  <c r="M24" i="57" s="1"/>
  <c r="L12" i="57"/>
  <c r="L24" i="57" s="1"/>
  <c r="K12" i="57"/>
  <c r="K24" i="57" s="1"/>
  <c r="J12" i="57"/>
  <c r="J24" i="57" s="1"/>
  <c r="I12" i="57"/>
  <c r="I24" i="57" s="1"/>
  <c r="H12" i="57"/>
  <c r="H24" i="57" s="1"/>
  <c r="G12" i="57"/>
  <c r="G24" i="57" s="1"/>
  <c r="V2" i="57"/>
  <c r="U2" i="57"/>
  <c r="T2" i="57"/>
  <c r="S2" i="57"/>
  <c r="R2" i="57"/>
  <c r="Q2" i="57"/>
  <c r="P2" i="57"/>
  <c r="M2" i="57"/>
  <c r="L2" i="57"/>
  <c r="K2" i="57"/>
  <c r="J2" i="57"/>
  <c r="I2" i="57"/>
  <c r="H2" i="57"/>
  <c r="G2" i="57"/>
  <c r="V44" i="56"/>
  <c r="U44" i="56"/>
  <c r="T44" i="56"/>
  <c r="S44" i="56"/>
  <c r="R44" i="56"/>
  <c r="P44" i="56"/>
  <c r="M44" i="56"/>
  <c r="L44" i="56"/>
  <c r="K44" i="56"/>
  <c r="J44" i="56"/>
  <c r="I44" i="56"/>
  <c r="H44" i="56"/>
  <c r="G44" i="56"/>
  <c r="W42" i="56"/>
  <c r="N42" i="56"/>
  <c r="W41" i="56"/>
  <c r="N41" i="56"/>
  <c r="N40" i="56"/>
  <c r="W39" i="56"/>
  <c r="N39" i="56"/>
  <c r="W38" i="56"/>
  <c r="N38" i="56"/>
  <c r="W37" i="56"/>
  <c r="N37" i="56"/>
  <c r="W36" i="56"/>
  <c r="N36" i="56"/>
  <c r="W35" i="56"/>
  <c r="N35" i="56"/>
  <c r="W34" i="56"/>
  <c r="N34" i="56"/>
  <c r="W33" i="56"/>
  <c r="N33" i="56"/>
  <c r="W32" i="56"/>
  <c r="N32" i="56"/>
  <c r="Y32" i="56" s="1"/>
  <c r="S53" i="56" s="1"/>
  <c r="L16" i="36" s="1"/>
  <c r="W28" i="56"/>
  <c r="N28" i="56"/>
  <c r="W27" i="56"/>
  <c r="N27" i="56"/>
  <c r="W26" i="56"/>
  <c r="N26" i="56"/>
  <c r="W25" i="56"/>
  <c r="N25" i="56"/>
  <c r="Y25" i="56" s="1"/>
  <c r="B16" i="56"/>
  <c r="V12" i="56"/>
  <c r="V24" i="56" s="1"/>
  <c r="U12" i="56"/>
  <c r="U24" i="56" s="1"/>
  <c r="T12" i="56"/>
  <c r="T24" i="56" s="1"/>
  <c r="S12" i="56"/>
  <c r="S24" i="56" s="1"/>
  <c r="R12" i="56"/>
  <c r="R24" i="56" s="1"/>
  <c r="Q12" i="56"/>
  <c r="Q24" i="56" s="1"/>
  <c r="P12" i="56"/>
  <c r="P24" i="56" s="1"/>
  <c r="M12" i="56"/>
  <c r="M24" i="56" s="1"/>
  <c r="L12" i="56"/>
  <c r="L24" i="56" s="1"/>
  <c r="K12" i="56"/>
  <c r="K24" i="56" s="1"/>
  <c r="J12" i="56"/>
  <c r="J24" i="56" s="1"/>
  <c r="I12" i="56"/>
  <c r="I24" i="56" s="1"/>
  <c r="H12" i="56"/>
  <c r="H24" i="56" s="1"/>
  <c r="G12" i="56"/>
  <c r="G24" i="56" s="1"/>
  <c r="V2" i="56"/>
  <c r="U2" i="56"/>
  <c r="T2" i="56"/>
  <c r="S2" i="56"/>
  <c r="R2" i="56"/>
  <c r="Q2" i="56"/>
  <c r="P2" i="56"/>
  <c r="M2" i="56"/>
  <c r="L2" i="56"/>
  <c r="K2" i="56"/>
  <c r="J2" i="56"/>
  <c r="I2" i="56"/>
  <c r="H2" i="56"/>
  <c r="G2" i="56"/>
  <c r="V44" i="54"/>
  <c r="U44" i="54"/>
  <c r="T44" i="54"/>
  <c r="S44" i="54"/>
  <c r="R44" i="54"/>
  <c r="Q44" i="54"/>
  <c r="P44" i="54"/>
  <c r="M44" i="54"/>
  <c r="L44" i="54"/>
  <c r="K44" i="54"/>
  <c r="J44" i="54"/>
  <c r="I44" i="54"/>
  <c r="H44" i="54"/>
  <c r="G44" i="54"/>
  <c r="W42" i="54"/>
  <c r="N42" i="54"/>
  <c r="W41" i="54"/>
  <c r="N41" i="54"/>
  <c r="W40" i="54"/>
  <c r="N40" i="54"/>
  <c r="W39" i="54"/>
  <c r="N39" i="54"/>
  <c r="W38" i="54"/>
  <c r="N38" i="54"/>
  <c r="W37" i="54"/>
  <c r="N37" i="54"/>
  <c r="W36" i="54"/>
  <c r="N36" i="54"/>
  <c r="W35" i="54"/>
  <c r="N35" i="54"/>
  <c r="W34" i="54"/>
  <c r="N34" i="54"/>
  <c r="W33" i="54"/>
  <c r="N33" i="54"/>
  <c r="W32" i="54"/>
  <c r="N32" i="54"/>
  <c r="W28" i="54"/>
  <c r="N28" i="54"/>
  <c r="W27" i="54"/>
  <c r="N27" i="54"/>
  <c r="W26" i="54"/>
  <c r="N26" i="54"/>
  <c r="W25" i="54"/>
  <c r="N25" i="54"/>
  <c r="B16" i="54"/>
  <c r="V12" i="54"/>
  <c r="V24" i="54" s="1"/>
  <c r="U12" i="54"/>
  <c r="U24" i="54" s="1"/>
  <c r="T12" i="54"/>
  <c r="T24" i="54" s="1"/>
  <c r="S12" i="54"/>
  <c r="S24" i="54" s="1"/>
  <c r="R12" i="54"/>
  <c r="R24" i="54" s="1"/>
  <c r="Q12" i="54"/>
  <c r="Q24" i="54" s="1"/>
  <c r="P12" i="54"/>
  <c r="P24" i="54" s="1"/>
  <c r="M12" i="54"/>
  <c r="M24" i="54" s="1"/>
  <c r="L12" i="54"/>
  <c r="L24" i="54" s="1"/>
  <c r="K12" i="54"/>
  <c r="K24" i="54" s="1"/>
  <c r="J12" i="54"/>
  <c r="J24" i="54" s="1"/>
  <c r="I12" i="54"/>
  <c r="I24" i="54" s="1"/>
  <c r="H12" i="54"/>
  <c r="H24" i="54" s="1"/>
  <c r="G12" i="54"/>
  <c r="G24" i="54" s="1"/>
  <c r="V2" i="54"/>
  <c r="U2" i="54"/>
  <c r="T2" i="54"/>
  <c r="S2" i="54"/>
  <c r="R2" i="54"/>
  <c r="Q2" i="54"/>
  <c r="P2" i="54"/>
  <c r="M2" i="54"/>
  <c r="L2" i="54"/>
  <c r="K2" i="54"/>
  <c r="J2" i="54"/>
  <c r="I2" i="54"/>
  <c r="H2" i="54"/>
  <c r="G2" i="54"/>
  <c r="V44" i="53"/>
  <c r="U44" i="53"/>
  <c r="T44" i="53"/>
  <c r="S44" i="53"/>
  <c r="R44" i="53"/>
  <c r="Q44" i="53"/>
  <c r="P44" i="53"/>
  <c r="M44" i="53"/>
  <c r="L44" i="53"/>
  <c r="K44" i="53"/>
  <c r="J44" i="53"/>
  <c r="I44" i="53"/>
  <c r="H44" i="53"/>
  <c r="G44" i="53"/>
  <c r="W42" i="53"/>
  <c r="N42" i="53"/>
  <c r="W41" i="53"/>
  <c r="N41" i="53"/>
  <c r="Y41" i="53" s="1"/>
  <c r="W40" i="53"/>
  <c r="N40" i="53"/>
  <c r="W39" i="53"/>
  <c r="N39" i="53"/>
  <c r="W38" i="53"/>
  <c r="N38" i="53"/>
  <c r="W37" i="53"/>
  <c r="N37" i="53"/>
  <c r="Y37" i="53" s="1"/>
  <c r="S55" i="53" s="1"/>
  <c r="R14" i="36" s="1"/>
  <c r="W36" i="53"/>
  <c r="N36" i="53"/>
  <c r="W35" i="53"/>
  <c r="N35" i="53"/>
  <c r="W34" i="53"/>
  <c r="N34" i="53"/>
  <c r="W33" i="53"/>
  <c r="N33" i="53"/>
  <c r="Y33" i="53" s="1"/>
  <c r="S51" i="53" s="1"/>
  <c r="F14" i="36" s="1"/>
  <c r="W32" i="53"/>
  <c r="N32" i="53"/>
  <c r="W28" i="53"/>
  <c r="N28" i="53"/>
  <c r="W27" i="53"/>
  <c r="N27" i="53"/>
  <c r="W26" i="53"/>
  <c r="N26" i="53"/>
  <c r="W25" i="53"/>
  <c r="N25" i="53"/>
  <c r="B16" i="53"/>
  <c r="V12" i="53"/>
  <c r="V24" i="53" s="1"/>
  <c r="U12" i="53"/>
  <c r="U24" i="53" s="1"/>
  <c r="T12" i="53"/>
  <c r="T24" i="53" s="1"/>
  <c r="S12" i="53"/>
  <c r="S24" i="53" s="1"/>
  <c r="R12" i="53"/>
  <c r="R24" i="53" s="1"/>
  <c r="Q12" i="53"/>
  <c r="Q24" i="53" s="1"/>
  <c r="P12" i="53"/>
  <c r="P24" i="53" s="1"/>
  <c r="M12" i="53"/>
  <c r="M24" i="53" s="1"/>
  <c r="L12" i="53"/>
  <c r="L24" i="53" s="1"/>
  <c r="K12" i="53"/>
  <c r="K24" i="53" s="1"/>
  <c r="J12" i="53"/>
  <c r="J24" i="53" s="1"/>
  <c r="I12" i="53"/>
  <c r="I24" i="53" s="1"/>
  <c r="H12" i="53"/>
  <c r="H24" i="53" s="1"/>
  <c r="G12" i="53"/>
  <c r="G24" i="53" s="1"/>
  <c r="V2" i="53"/>
  <c r="U2" i="53"/>
  <c r="T2" i="53"/>
  <c r="S2" i="53"/>
  <c r="R2" i="53"/>
  <c r="Q2" i="53"/>
  <c r="P2" i="53"/>
  <c r="M2" i="53"/>
  <c r="L2" i="53"/>
  <c r="K2" i="53"/>
  <c r="J2" i="53"/>
  <c r="I2" i="53"/>
  <c r="H2" i="53"/>
  <c r="G2" i="53"/>
  <c r="V44" i="52"/>
  <c r="U44" i="52"/>
  <c r="T44" i="52"/>
  <c r="S44" i="52"/>
  <c r="R44" i="52"/>
  <c r="Q44" i="52"/>
  <c r="P44" i="52"/>
  <c r="M44" i="52"/>
  <c r="L44" i="52"/>
  <c r="K44" i="52"/>
  <c r="J44" i="52"/>
  <c r="I44" i="52"/>
  <c r="H44" i="52"/>
  <c r="G44" i="52"/>
  <c r="W42" i="52"/>
  <c r="N42" i="52"/>
  <c r="W41" i="52"/>
  <c r="N41" i="52"/>
  <c r="W40" i="52"/>
  <c r="N40" i="52"/>
  <c r="W39" i="52"/>
  <c r="N39" i="52"/>
  <c r="W38" i="52"/>
  <c r="N38" i="52"/>
  <c r="W37" i="52"/>
  <c r="N37" i="52"/>
  <c r="W36" i="52"/>
  <c r="N36" i="52"/>
  <c r="W35" i="52"/>
  <c r="N35" i="52"/>
  <c r="W34" i="52"/>
  <c r="N34" i="52"/>
  <c r="W33" i="52"/>
  <c r="N33" i="52"/>
  <c r="W32" i="52"/>
  <c r="N32" i="52"/>
  <c r="W28" i="52"/>
  <c r="N28" i="52"/>
  <c r="W27" i="52"/>
  <c r="N27" i="52"/>
  <c r="W26" i="52"/>
  <c r="N26" i="52"/>
  <c r="W25" i="52"/>
  <c r="N25" i="52"/>
  <c r="B16" i="52"/>
  <c r="V12" i="52"/>
  <c r="V24" i="52" s="1"/>
  <c r="U12" i="52"/>
  <c r="U24" i="52" s="1"/>
  <c r="T12" i="52"/>
  <c r="T24" i="52" s="1"/>
  <c r="S12" i="52"/>
  <c r="S24" i="52" s="1"/>
  <c r="R12" i="52"/>
  <c r="R24" i="52" s="1"/>
  <c r="Q12" i="52"/>
  <c r="Q24" i="52" s="1"/>
  <c r="P12" i="52"/>
  <c r="P24" i="52" s="1"/>
  <c r="M12" i="52"/>
  <c r="M24" i="52" s="1"/>
  <c r="L12" i="52"/>
  <c r="L24" i="52" s="1"/>
  <c r="K12" i="52"/>
  <c r="K24" i="52" s="1"/>
  <c r="J12" i="52"/>
  <c r="J24" i="52" s="1"/>
  <c r="I12" i="52"/>
  <c r="I24" i="52" s="1"/>
  <c r="H12" i="52"/>
  <c r="H24" i="52" s="1"/>
  <c r="G12" i="52"/>
  <c r="G24" i="52" s="1"/>
  <c r="V2" i="52"/>
  <c r="U2" i="52"/>
  <c r="T2" i="52"/>
  <c r="S2" i="52"/>
  <c r="R2" i="52"/>
  <c r="Q2" i="52"/>
  <c r="P2" i="52"/>
  <c r="M2" i="52"/>
  <c r="L2" i="52"/>
  <c r="K2" i="52"/>
  <c r="J2" i="52"/>
  <c r="I2" i="52"/>
  <c r="H2" i="52"/>
  <c r="G2" i="52"/>
  <c r="V44" i="51"/>
  <c r="U44" i="51"/>
  <c r="T44" i="51"/>
  <c r="S44" i="51"/>
  <c r="R44" i="51"/>
  <c r="Q44" i="51"/>
  <c r="P44" i="51"/>
  <c r="M44" i="51"/>
  <c r="L44" i="51"/>
  <c r="K44" i="51"/>
  <c r="J44" i="51"/>
  <c r="I44" i="51"/>
  <c r="H44" i="51"/>
  <c r="G44" i="51"/>
  <c r="W42" i="51"/>
  <c r="N42" i="51"/>
  <c r="Y42" i="51" s="1"/>
  <c r="W41" i="51"/>
  <c r="N41" i="51"/>
  <c r="W40" i="51"/>
  <c r="N40" i="51"/>
  <c r="Y40" i="51" s="1"/>
  <c r="W39" i="51"/>
  <c r="N39" i="51"/>
  <c r="W38" i="51"/>
  <c r="N38" i="51"/>
  <c r="Y38" i="51" s="1"/>
  <c r="S56" i="51" s="1"/>
  <c r="T12" i="36" s="1"/>
  <c r="W37" i="51"/>
  <c r="N37" i="51"/>
  <c r="W36" i="51"/>
  <c r="N36" i="51"/>
  <c r="W35" i="51"/>
  <c r="N35" i="51"/>
  <c r="W34" i="51"/>
  <c r="N34" i="51"/>
  <c r="Y34" i="51" s="1"/>
  <c r="W33" i="51"/>
  <c r="N33" i="51"/>
  <c r="W32" i="51"/>
  <c r="N32" i="51"/>
  <c r="Y32" i="51" s="1"/>
  <c r="S53" i="51" s="1"/>
  <c r="L12" i="36" s="1"/>
  <c r="W28" i="51"/>
  <c r="N28" i="51"/>
  <c r="W27" i="51"/>
  <c r="N27" i="51"/>
  <c r="Y27" i="51" s="1"/>
  <c r="R54" i="51" s="1"/>
  <c r="N12" i="36" s="1"/>
  <c r="W26" i="51"/>
  <c r="N26" i="51"/>
  <c r="W25" i="51"/>
  <c r="N25" i="51"/>
  <c r="Y25" i="51" s="1"/>
  <c r="B16" i="51"/>
  <c r="V12" i="51"/>
  <c r="V24" i="51" s="1"/>
  <c r="U12" i="51"/>
  <c r="U24" i="51" s="1"/>
  <c r="T12" i="51"/>
  <c r="T24" i="51" s="1"/>
  <c r="S12" i="51"/>
  <c r="S24" i="51" s="1"/>
  <c r="R12" i="51"/>
  <c r="R24" i="51" s="1"/>
  <c r="Q12" i="51"/>
  <c r="Q24" i="51" s="1"/>
  <c r="P12" i="51"/>
  <c r="P24" i="51" s="1"/>
  <c r="M12" i="51"/>
  <c r="M24" i="51" s="1"/>
  <c r="L12" i="51"/>
  <c r="L24" i="51" s="1"/>
  <c r="K12" i="51"/>
  <c r="K24" i="51" s="1"/>
  <c r="J12" i="51"/>
  <c r="J24" i="51" s="1"/>
  <c r="I12" i="51"/>
  <c r="I24" i="51" s="1"/>
  <c r="H12" i="51"/>
  <c r="H24" i="51" s="1"/>
  <c r="G12" i="51"/>
  <c r="G24" i="51" s="1"/>
  <c r="V2" i="51"/>
  <c r="U2" i="51"/>
  <c r="T2" i="51"/>
  <c r="S2" i="51"/>
  <c r="R2" i="51"/>
  <c r="Q2" i="51"/>
  <c r="P2" i="51"/>
  <c r="M2" i="51"/>
  <c r="L2" i="51"/>
  <c r="K2" i="51"/>
  <c r="J2" i="51"/>
  <c r="I2" i="51"/>
  <c r="H2" i="51"/>
  <c r="G2" i="51"/>
  <c r="V44" i="50"/>
  <c r="U44" i="50"/>
  <c r="T44" i="50"/>
  <c r="S44" i="50"/>
  <c r="R44" i="50"/>
  <c r="Q44" i="50"/>
  <c r="P44" i="50"/>
  <c r="M44" i="50"/>
  <c r="L44" i="50"/>
  <c r="K44" i="50"/>
  <c r="J44" i="50"/>
  <c r="I44" i="50"/>
  <c r="H44" i="50"/>
  <c r="G44" i="50"/>
  <c r="W42" i="50"/>
  <c r="N42" i="50"/>
  <c r="W41" i="50"/>
  <c r="N41" i="50"/>
  <c r="W40" i="50"/>
  <c r="N40" i="50"/>
  <c r="W39" i="50"/>
  <c r="N39" i="50"/>
  <c r="W38" i="50"/>
  <c r="N38" i="50"/>
  <c r="W37" i="50"/>
  <c r="N37" i="50"/>
  <c r="W36" i="50"/>
  <c r="N36" i="50"/>
  <c r="W35" i="50"/>
  <c r="N35" i="50"/>
  <c r="W34" i="50"/>
  <c r="N34" i="50"/>
  <c r="W33" i="50"/>
  <c r="N33" i="50"/>
  <c r="W32" i="50"/>
  <c r="N32" i="50"/>
  <c r="W28" i="50"/>
  <c r="N28" i="50"/>
  <c r="W27" i="50"/>
  <c r="N27" i="50"/>
  <c r="W26" i="50"/>
  <c r="N26" i="50"/>
  <c r="W25" i="50"/>
  <c r="N25" i="50"/>
  <c r="B16" i="50"/>
  <c r="V12" i="50"/>
  <c r="V24" i="50" s="1"/>
  <c r="U12" i="50"/>
  <c r="U24" i="50" s="1"/>
  <c r="T12" i="50"/>
  <c r="T24" i="50" s="1"/>
  <c r="S12" i="50"/>
  <c r="S24" i="50" s="1"/>
  <c r="R12" i="50"/>
  <c r="R24" i="50" s="1"/>
  <c r="Q12" i="50"/>
  <c r="Q24" i="50" s="1"/>
  <c r="P12" i="50"/>
  <c r="P24" i="50" s="1"/>
  <c r="M12" i="50"/>
  <c r="M24" i="50" s="1"/>
  <c r="L12" i="50"/>
  <c r="L24" i="50" s="1"/>
  <c r="K12" i="50"/>
  <c r="K24" i="50" s="1"/>
  <c r="J12" i="50"/>
  <c r="J24" i="50" s="1"/>
  <c r="I12" i="50"/>
  <c r="I24" i="50" s="1"/>
  <c r="H12" i="50"/>
  <c r="H24" i="50" s="1"/>
  <c r="G12" i="50"/>
  <c r="G24" i="50" s="1"/>
  <c r="V2" i="50"/>
  <c r="U2" i="50"/>
  <c r="T2" i="50"/>
  <c r="S2" i="50"/>
  <c r="R2" i="50"/>
  <c r="Q2" i="50"/>
  <c r="P2" i="50"/>
  <c r="M2" i="50"/>
  <c r="L2" i="50"/>
  <c r="K2" i="50"/>
  <c r="J2" i="50"/>
  <c r="I2" i="50"/>
  <c r="H2" i="50"/>
  <c r="G2" i="50"/>
  <c r="V44" i="49"/>
  <c r="U44" i="49"/>
  <c r="T44" i="49"/>
  <c r="S44" i="49"/>
  <c r="R44" i="49"/>
  <c r="Q44" i="49"/>
  <c r="P44" i="49"/>
  <c r="M44" i="49"/>
  <c r="L44" i="49"/>
  <c r="K44" i="49"/>
  <c r="J44" i="49"/>
  <c r="I44" i="49"/>
  <c r="H44" i="49"/>
  <c r="G44" i="49"/>
  <c r="W42" i="49"/>
  <c r="N42" i="49"/>
  <c r="W41" i="49"/>
  <c r="N41" i="49"/>
  <c r="Y41" i="49" s="1"/>
  <c r="W40" i="49"/>
  <c r="N40" i="49"/>
  <c r="W39" i="49"/>
  <c r="N39" i="49"/>
  <c r="Y39" i="49" s="1"/>
  <c r="W38" i="49"/>
  <c r="N38" i="49"/>
  <c r="W37" i="49"/>
  <c r="N37" i="49"/>
  <c r="Y37" i="49" s="1"/>
  <c r="S55" i="49" s="1"/>
  <c r="R10" i="36" s="1"/>
  <c r="W36" i="49"/>
  <c r="N36" i="49"/>
  <c r="W35" i="49"/>
  <c r="N35" i="49"/>
  <c r="Y35" i="49" s="1"/>
  <c r="S57" i="49" s="1"/>
  <c r="W34" i="49"/>
  <c r="N34" i="49"/>
  <c r="W33" i="49"/>
  <c r="N33" i="49"/>
  <c r="Y33" i="49" s="1"/>
  <c r="S51" i="49" s="1"/>
  <c r="F10" i="36" s="1"/>
  <c r="W32" i="49"/>
  <c r="N32" i="49"/>
  <c r="W28" i="49"/>
  <c r="N28" i="49"/>
  <c r="Y28" i="49" s="1"/>
  <c r="R55" i="49" s="1"/>
  <c r="Q10" i="36" s="1"/>
  <c r="W27" i="49"/>
  <c r="N27" i="49"/>
  <c r="W26" i="49"/>
  <c r="N26" i="49"/>
  <c r="W25" i="49"/>
  <c r="N25" i="49"/>
  <c r="B16" i="49"/>
  <c r="V12" i="49"/>
  <c r="V24" i="49" s="1"/>
  <c r="U12" i="49"/>
  <c r="U24" i="49" s="1"/>
  <c r="T12" i="49"/>
  <c r="T24" i="49" s="1"/>
  <c r="S12" i="49"/>
  <c r="S24" i="49" s="1"/>
  <c r="R12" i="49"/>
  <c r="R24" i="49" s="1"/>
  <c r="Q12" i="49"/>
  <c r="Q24" i="49" s="1"/>
  <c r="P12" i="49"/>
  <c r="P24" i="49" s="1"/>
  <c r="M12" i="49"/>
  <c r="M24" i="49" s="1"/>
  <c r="L12" i="49"/>
  <c r="L24" i="49" s="1"/>
  <c r="K12" i="49"/>
  <c r="K24" i="49" s="1"/>
  <c r="J12" i="49"/>
  <c r="J24" i="49" s="1"/>
  <c r="I12" i="49"/>
  <c r="I24" i="49" s="1"/>
  <c r="H12" i="49"/>
  <c r="H24" i="49" s="1"/>
  <c r="G12" i="49"/>
  <c r="G24" i="49" s="1"/>
  <c r="V2" i="49"/>
  <c r="U2" i="49"/>
  <c r="T2" i="49"/>
  <c r="S2" i="49"/>
  <c r="R2" i="49"/>
  <c r="Q2" i="49"/>
  <c r="P2" i="49"/>
  <c r="M2" i="49"/>
  <c r="L2" i="49"/>
  <c r="K2" i="49"/>
  <c r="J2" i="49"/>
  <c r="I2" i="49"/>
  <c r="H2" i="49"/>
  <c r="G2" i="49"/>
  <c r="V44" i="48"/>
  <c r="U44" i="48"/>
  <c r="T44" i="48"/>
  <c r="S44" i="48"/>
  <c r="R44" i="48"/>
  <c r="Q44" i="48"/>
  <c r="P44" i="48"/>
  <c r="M44" i="48"/>
  <c r="L44" i="48"/>
  <c r="K44" i="48"/>
  <c r="J44" i="48"/>
  <c r="I44" i="48"/>
  <c r="H44" i="48"/>
  <c r="G44" i="48"/>
  <c r="W42" i="48"/>
  <c r="N42" i="48"/>
  <c r="W41" i="48"/>
  <c r="N41" i="48"/>
  <c r="W40" i="48"/>
  <c r="N40" i="48"/>
  <c r="W39" i="48"/>
  <c r="N39" i="48"/>
  <c r="W38" i="48"/>
  <c r="N38" i="48"/>
  <c r="W37" i="48"/>
  <c r="N37" i="48"/>
  <c r="W36" i="48"/>
  <c r="N36" i="48"/>
  <c r="W35" i="48"/>
  <c r="N35" i="48"/>
  <c r="W34" i="48"/>
  <c r="N34" i="48"/>
  <c r="W33" i="48"/>
  <c r="N33" i="48"/>
  <c r="W32" i="48"/>
  <c r="N32" i="48"/>
  <c r="W28" i="48"/>
  <c r="N28" i="48"/>
  <c r="W27" i="48"/>
  <c r="N27" i="48"/>
  <c r="W26" i="48"/>
  <c r="N26" i="48"/>
  <c r="W25" i="48"/>
  <c r="N25" i="48"/>
  <c r="B16" i="48"/>
  <c r="V12" i="48"/>
  <c r="V24" i="48" s="1"/>
  <c r="U12" i="48"/>
  <c r="U24" i="48" s="1"/>
  <c r="T12" i="48"/>
  <c r="T24" i="48" s="1"/>
  <c r="S12" i="48"/>
  <c r="S24" i="48" s="1"/>
  <c r="R12" i="48"/>
  <c r="R24" i="48" s="1"/>
  <c r="Q12" i="48"/>
  <c r="Q24" i="48" s="1"/>
  <c r="P12" i="48"/>
  <c r="P24" i="48" s="1"/>
  <c r="M12" i="48"/>
  <c r="M24" i="48" s="1"/>
  <c r="L12" i="48"/>
  <c r="L24" i="48" s="1"/>
  <c r="K12" i="48"/>
  <c r="K24" i="48" s="1"/>
  <c r="J12" i="48"/>
  <c r="J24" i="48" s="1"/>
  <c r="I12" i="48"/>
  <c r="I24" i="48" s="1"/>
  <c r="H12" i="48"/>
  <c r="H24" i="48" s="1"/>
  <c r="G12" i="48"/>
  <c r="G24" i="48" s="1"/>
  <c r="V2" i="48"/>
  <c r="U2" i="48"/>
  <c r="T2" i="48"/>
  <c r="S2" i="48"/>
  <c r="R2" i="48"/>
  <c r="Q2" i="48"/>
  <c r="P2" i="48"/>
  <c r="M2" i="48"/>
  <c r="L2" i="48"/>
  <c r="K2" i="48"/>
  <c r="J2" i="48"/>
  <c r="I2" i="48"/>
  <c r="H2" i="48"/>
  <c r="G2" i="48"/>
  <c r="Y34" i="63" l="1"/>
  <c r="Y34" i="71"/>
  <c r="Y39" i="69"/>
  <c r="Y37" i="65"/>
  <c r="S55" i="65" s="1"/>
  <c r="R25" i="36" s="1"/>
  <c r="Y28" i="69"/>
  <c r="R55" i="69" s="1"/>
  <c r="Q29" i="36" s="1"/>
  <c r="Y32" i="64"/>
  <c r="S53" i="64" s="1"/>
  <c r="L24" i="36" s="1"/>
  <c r="Y28" i="66"/>
  <c r="R55" i="66" s="1"/>
  <c r="Q26" i="36" s="1"/>
  <c r="Y39" i="61"/>
  <c r="Y38" i="63"/>
  <c r="S56" i="63" s="1"/>
  <c r="T23" i="36" s="1"/>
  <c r="Y38" i="71"/>
  <c r="S56" i="71" s="1"/>
  <c r="T31" i="36" s="1"/>
  <c r="Y25" i="64"/>
  <c r="Y40" i="64"/>
  <c r="Y39" i="66"/>
  <c r="Y25" i="72"/>
  <c r="Y34" i="72"/>
  <c r="Y35" i="61"/>
  <c r="S57" i="61" s="1"/>
  <c r="Y26" i="65"/>
  <c r="R53" i="65" s="1"/>
  <c r="K25" i="36" s="1"/>
  <c r="Y41" i="65"/>
  <c r="Y35" i="69"/>
  <c r="S57" i="69" s="1"/>
  <c r="Y42" i="72"/>
  <c r="Y28" i="61"/>
  <c r="R55" i="61" s="1"/>
  <c r="Q21" i="36" s="1"/>
  <c r="Y27" i="63"/>
  <c r="R54" i="63" s="1"/>
  <c r="N23" i="36" s="1"/>
  <c r="Y42" i="68"/>
  <c r="Y27" i="71"/>
  <c r="R54" i="71" s="1"/>
  <c r="N31" i="36" s="1"/>
  <c r="Y28" i="58"/>
  <c r="R55" i="58" s="1"/>
  <c r="Q18" i="36" s="1"/>
  <c r="Y35" i="58"/>
  <c r="S57" i="58" s="1"/>
  <c r="Y39" i="58"/>
  <c r="Y42" i="63"/>
  <c r="Y42" i="71"/>
  <c r="Y27" i="68"/>
  <c r="R54" i="68" s="1"/>
  <c r="N28" i="36" s="1"/>
  <c r="Y34" i="68"/>
  <c r="S52" i="68" s="1"/>
  <c r="I28" i="36" s="1"/>
  <c r="Y28" i="70"/>
  <c r="R55" i="70" s="1"/>
  <c r="Q30" i="36" s="1"/>
  <c r="Y35" i="70"/>
  <c r="S57" i="70" s="1"/>
  <c r="Y39" i="70"/>
  <c r="Y26" i="57"/>
  <c r="R53" i="57" s="1"/>
  <c r="K17" i="36" s="1"/>
  <c r="Y33" i="57"/>
  <c r="S51" i="57" s="1"/>
  <c r="F17" i="36" s="1"/>
  <c r="Y37" i="57"/>
  <c r="S55" i="57" s="1"/>
  <c r="R17" i="36" s="1"/>
  <c r="Y41" i="57"/>
  <c r="Y25" i="59"/>
  <c r="Y32" i="59"/>
  <c r="S53" i="59" s="1"/>
  <c r="L19" i="36" s="1"/>
  <c r="Y36" i="59"/>
  <c r="S54" i="59" s="1"/>
  <c r="O19" i="36" s="1"/>
  <c r="Y36" i="56"/>
  <c r="S54" i="56" s="1"/>
  <c r="O16" i="36" s="1"/>
  <c r="Y36" i="51"/>
  <c r="S54" i="51" s="1"/>
  <c r="O12" i="36" s="1"/>
  <c r="Y26" i="49"/>
  <c r="R53" i="49" s="1"/>
  <c r="K10" i="36" s="1"/>
  <c r="Y26" i="53"/>
  <c r="R53" i="53" s="1"/>
  <c r="K14" i="36" s="1"/>
  <c r="N44" i="48"/>
  <c r="Y38" i="68"/>
  <c r="S56" i="68" s="1"/>
  <c r="T28" i="36" s="1"/>
  <c r="Y26" i="48"/>
  <c r="R53" i="48" s="1"/>
  <c r="K9" i="36" s="1"/>
  <c r="Y33" i="48"/>
  <c r="S51" i="48" s="1"/>
  <c r="F9" i="36" s="1"/>
  <c r="Y37" i="48"/>
  <c r="S55" i="48" s="1"/>
  <c r="R9" i="36" s="1"/>
  <c r="Y41" i="48"/>
  <c r="Y25" i="50"/>
  <c r="Y32" i="50"/>
  <c r="S53" i="50" s="1"/>
  <c r="L11" i="36" s="1"/>
  <c r="Y36" i="50"/>
  <c r="S54" i="50" s="1"/>
  <c r="O11" i="36" s="1"/>
  <c r="Y28" i="52"/>
  <c r="R55" i="52" s="1"/>
  <c r="Q13" i="36" s="1"/>
  <c r="Y35" i="52"/>
  <c r="S57" i="52" s="1"/>
  <c r="Y39" i="52"/>
  <c r="Y27" i="54"/>
  <c r="R54" i="54" s="1"/>
  <c r="N15" i="36" s="1"/>
  <c r="Y34" i="54"/>
  <c r="Y38" i="54"/>
  <c r="S56" i="54" s="1"/>
  <c r="T15" i="36" s="1"/>
  <c r="Y42" i="54"/>
  <c r="Y25" i="67"/>
  <c r="Y32" i="67"/>
  <c r="S53" i="67" s="1"/>
  <c r="L27" i="36" s="1"/>
  <c r="Y36" i="67"/>
  <c r="S54" i="67" s="1"/>
  <c r="O27" i="36" s="1"/>
  <c r="Y40" i="67"/>
  <c r="V48" i="49"/>
  <c r="V30" i="49"/>
  <c r="M48" i="48"/>
  <c r="M30" i="48"/>
  <c r="M48" i="51"/>
  <c r="M30" i="51"/>
  <c r="M65" i="51" s="1"/>
  <c r="C85" i="76" s="1"/>
  <c r="D84" i="75" s="1"/>
  <c r="V48" i="52"/>
  <c r="V30" i="52"/>
  <c r="V65" i="52" s="1"/>
  <c r="C106" i="76" s="1"/>
  <c r="D105" i="75" s="1"/>
  <c r="M48" i="60"/>
  <c r="M30" i="60"/>
  <c r="V48" i="61"/>
  <c r="V30" i="61"/>
  <c r="M48" i="68"/>
  <c r="M30" i="68"/>
  <c r="M65" i="68" s="1"/>
  <c r="C309" i="76" s="1"/>
  <c r="D308" i="75" s="1"/>
  <c r="V48" i="69"/>
  <c r="V30" i="69"/>
  <c r="V65" i="69" s="1"/>
  <c r="C330" i="76" s="1"/>
  <c r="D329" i="75" s="1"/>
  <c r="M48" i="50"/>
  <c r="M30" i="50"/>
  <c r="V48" i="51"/>
  <c r="V30" i="51"/>
  <c r="M48" i="59"/>
  <c r="M30" i="59"/>
  <c r="M65" i="59" s="1"/>
  <c r="C183" i="76" s="1"/>
  <c r="D182" i="75" s="1"/>
  <c r="V48" i="60"/>
  <c r="V30" i="60"/>
  <c r="V65" i="60" s="1"/>
  <c r="C204" i="76" s="1"/>
  <c r="D203" i="75" s="1"/>
  <c r="M48" i="67"/>
  <c r="M30" i="67"/>
  <c r="V48" i="68"/>
  <c r="V30" i="68"/>
  <c r="M48" i="49"/>
  <c r="M30" i="49"/>
  <c r="M65" i="49" s="1"/>
  <c r="C57" i="76" s="1"/>
  <c r="D56" i="75" s="1"/>
  <c r="V48" i="50"/>
  <c r="V30" i="50"/>
  <c r="V65" i="50" s="1"/>
  <c r="C78" i="76" s="1"/>
  <c r="D77" i="75" s="1"/>
  <c r="M48" i="58"/>
  <c r="M30" i="58"/>
  <c r="V48" i="59"/>
  <c r="V30" i="59"/>
  <c r="M48" i="66"/>
  <c r="M30" i="66"/>
  <c r="M65" i="66" s="1"/>
  <c r="C281" i="76" s="1"/>
  <c r="D280" i="75" s="1"/>
  <c r="V48" i="67"/>
  <c r="V30" i="67"/>
  <c r="V65" i="67" s="1"/>
  <c r="C302" i="76" s="1"/>
  <c r="D301" i="75" s="1"/>
  <c r="Y25" i="49"/>
  <c r="Y32" i="49"/>
  <c r="S53" i="49" s="1"/>
  <c r="L10" i="36" s="1"/>
  <c r="Y36" i="49"/>
  <c r="S54" i="49" s="1"/>
  <c r="O10" i="36" s="1"/>
  <c r="Y28" i="51"/>
  <c r="R55" i="51" s="1"/>
  <c r="Q12" i="36" s="1"/>
  <c r="Y35" i="51"/>
  <c r="S57" i="51" s="1"/>
  <c r="Y39" i="51"/>
  <c r="Y27" i="53"/>
  <c r="R54" i="53" s="1"/>
  <c r="N14" i="36" s="1"/>
  <c r="Y34" i="53"/>
  <c r="Y38" i="53"/>
  <c r="S56" i="53" s="1"/>
  <c r="T14" i="36" s="1"/>
  <c r="Y42" i="53"/>
  <c r="Y26" i="56"/>
  <c r="R53" i="56" s="1"/>
  <c r="K16" i="36" s="1"/>
  <c r="Y33" i="56"/>
  <c r="S51" i="56" s="1"/>
  <c r="F16" i="36" s="1"/>
  <c r="Y37" i="56"/>
  <c r="S55" i="56" s="1"/>
  <c r="R16" i="36" s="1"/>
  <c r="Y41" i="56"/>
  <c r="Y25" i="58"/>
  <c r="Y32" i="58"/>
  <c r="S53" i="58" s="1"/>
  <c r="L18" i="36" s="1"/>
  <c r="Y36" i="58"/>
  <c r="S54" i="58" s="1"/>
  <c r="O18" i="36" s="1"/>
  <c r="Y40" i="58"/>
  <c r="Y28" i="60"/>
  <c r="R55" i="60" s="1"/>
  <c r="Q20" i="36" s="1"/>
  <c r="Y35" i="60"/>
  <c r="S57" i="60" s="1"/>
  <c r="Y39" i="60"/>
  <c r="Y27" i="62"/>
  <c r="R54" i="62" s="1"/>
  <c r="N22" i="36" s="1"/>
  <c r="Y34" i="62"/>
  <c r="Y38" i="62"/>
  <c r="S56" i="62" s="1"/>
  <c r="T22" i="36" s="1"/>
  <c r="Y42" i="62"/>
  <c r="Y26" i="64"/>
  <c r="R53" i="64" s="1"/>
  <c r="K24" i="36" s="1"/>
  <c r="Y33" i="64"/>
  <c r="S51" i="64" s="1"/>
  <c r="F24" i="36" s="1"/>
  <c r="Y37" i="64"/>
  <c r="S55" i="64" s="1"/>
  <c r="R24" i="36" s="1"/>
  <c r="Y41" i="64"/>
  <c r="Y25" i="66"/>
  <c r="Y32" i="66"/>
  <c r="S53" i="66" s="1"/>
  <c r="L26" i="36" s="1"/>
  <c r="Y36" i="66"/>
  <c r="S54" i="66" s="1"/>
  <c r="O26" i="36" s="1"/>
  <c r="Y28" i="68"/>
  <c r="R55" i="68" s="1"/>
  <c r="Q28" i="36" s="1"/>
  <c r="Y35" i="68"/>
  <c r="S57" i="68" s="1"/>
  <c r="Y39" i="68"/>
  <c r="Y27" i="70"/>
  <c r="R54" i="70" s="1"/>
  <c r="N30" i="36" s="1"/>
  <c r="Y34" i="70"/>
  <c r="S52" i="70" s="1"/>
  <c r="I30" i="36" s="1"/>
  <c r="Y38" i="70"/>
  <c r="S56" i="70" s="1"/>
  <c r="T30" i="36" s="1"/>
  <c r="Y42" i="70"/>
  <c r="Y26" i="72"/>
  <c r="R53" i="72" s="1"/>
  <c r="K32" i="36" s="1"/>
  <c r="Y33" i="72"/>
  <c r="S51" i="72" s="1"/>
  <c r="F32" i="36" s="1"/>
  <c r="Y37" i="72"/>
  <c r="S55" i="72" s="1"/>
  <c r="R32" i="36" s="1"/>
  <c r="Y41" i="72"/>
  <c r="Y25" i="48"/>
  <c r="Y32" i="48"/>
  <c r="S53" i="48" s="1"/>
  <c r="L9" i="36" s="1"/>
  <c r="Y36" i="48"/>
  <c r="S54" i="48" s="1"/>
  <c r="O9" i="36" s="1"/>
  <c r="Y28" i="50"/>
  <c r="R55" i="50" s="1"/>
  <c r="Q11" i="36" s="1"/>
  <c r="Y35" i="50"/>
  <c r="S57" i="50" s="1"/>
  <c r="Y39" i="50"/>
  <c r="Y27" i="52"/>
  <c r="R54" i="52" s="1"/>
  <c r="N13" i="36" s="1"/>
  <c r="Y34" i="52"/>
  <c r="Y38" i="52"/>
  <c r="S56" i="52" s="1"/>
  <c r="T13" i="36" s="1"/>
  <c r="Y42" i="52"/>
  <c r="Y26" i="54"/>
  <c r="R53" i="54" s="1"/>
  <c r="K15" i="36" s="1"/>
  <c r="Y33" i="54"/>
  <c r="S51" i="54" s="1"/>
  <c r="F15" i="36" s="1"/>
  <c r="Y37" i="54"/>
  <c r="S55" i="54" s="1"/>
  <c r="R15" i="36" s="1"/>
  <c r="Y41" i="54"/>
  <c r="Y25" i="57"/>
  <c r="Y32" i="57"/>
  <c r="S53" i="57" s="1"/>
  <c r="L17" i="36" s="1"/>
  <c r="Y36" i="57"/>
  <c r="S54" i="57" s="1"/>
  <c r="O17" i="36" s="1"/>
  <c r="Y28" i="59"/>
  <c r="R55" i="59" s="1"/>
  <c r="Q19" i="36" s="1"/>
  <c r="Y35" i="59"/>
  <c r="S57" i="59" s="1"/>
  <c r="Y39" i="59"/>
  <c r="Y27" i="61"/>
  <c r="R54" i="61" s="1"/>
  <c r="N21" i="36" s="1"/>
  <c r="Y34" i="61"/>
  <c r="Y38" i="61"/>
  <c r="S56" i="61" s="1"/>
  <c r="T21" i="36" s="1"/>
  <c r="Y42" i="61"/>
  <c r="Y26" i="63"/>
  <c r="R53" i="63" s="1"/>
  <c r="K23" i="36" s="1"/>
  <c r="Y33" i="63"/>
  <c r="S51" i="63" s="1"/>
  <c r="F23" i="36" s="1"/>
  <c r="Y37" i="63"/>
  <c r="S55" i="63" s="1"/>
  <c r="R23" i="36" s="1"/>
  <c r="Y41" i="63"/>
  <c r="Y25" i="65"/>
  <c r="Y32" i="65"/>
  <c r="S53" i="65" s="1"/>
  <c r="L25" i="36" s="1"/>
  <c r="Y36" i="65"/>
  <c r="S54" i="65" s="1"/>
  <c r="O25" i="36" s="1"/>
  <c r="Y40" i="65"/>
  <c r="Y28" i="67"/>
  <c r="R55" i="67" s="1"/>
  <c r="Q27" i="36" s="1"/>
  <c r="Y35" i="67"/>
  <c r="S57" i="67" s="1"/>
  <c r="Y39" i="67"/>
  <c r="Y27" i="69"/>
  <c r="R54" i="69" s="1"/>
  <c r="N29" i="36" s="1"/>
  <c r="Y42" i="69"/>
  <c r="Y26" i="71"/>
  <c r="R53" i="71" s="1"/>
  <c r="K31" i="36" s="1"/>
  <c r="Y33" i="71"/>
  <c r="S51" i="71" s="1"/>
  <c r="F31" i="36" s="1"/>
  <c r="Y37" i="71"/>
  <c r="S55" i="71" s="1"/>
  <c r="R31" i="36" s="1"/>
  <c r="Y41" i="71"/>
  <c r="V48" i="58"/>
  <c r="V30" i="58"/>
  <c r="V48" i="66"/>
  <c r="V30" i="66"/>
  <c r="M48" i="56"/>
  <c r="M30" i="56"/>
  <c r="M65" i="56" s="1"/>
  <c r="C141" i="76" s="1"/>
  <c r="D140" i="75" s="1"/>
  <c r="V48" i="57"/>
  <c r="V30" i="57"/>
  <c r="M48" i="64"/>
  <c r="M30" i="64"/>
  <c r="M48" i="54"/>
  <c r="M30" i="54"/>
  <c r="V48" i="72"/>
  <c r="V30" i="72"/>
  <c r="V65" i="72" s="1"/>
  <c r="C372" i="76" s="1"/>
  <c r="D371" i="75" s="1"/>
  <c r="M48" i="53"/>
  <c r="M30" i="53"/>
  <c r="V48" i="54"/>
  <c r="V30" i="54"/>
  <c r="M48" i="62"/>
  <c r="M30" i="62"/>
  <c r="V48" i="63"/>
  <c r="V30" i="63"/>
  <c r="M48" i="70"/>
  <c r="M30" i="70"/>
  <c r="V48" i="71"/>
  <c r="V30" i="71"/>
  <c r="Y35" i="48"/>
  <c r="S57" i="48" s="1"/>
  <c r="W44" i="48"/>
  <c r="Y34" i="50"/>
  <c r="Y42" i="50"/>
  <c r="Y26" i="52"/>
  <c r="R53" i="52" s="1"/>
  <c r="K13" i="36" s="1"/>
  <c r="Y37" i="52"/>
  <c r="S55" i="52" s="1"/>
  <c r="R13" i="36" s="1"/>
  <c r="Y25" i="54"/>
  <c r="Y36" i="54"/>
  <c r="S54" i="54" s="1"/>
  <c r="O15" i="36" s="1"/>
  <c r="Y35" i="57"/>
  <c r="S57" i="57" s="1"/>
  <c r="Y34" i="59"/>
  <c r="Y42" i="59"/>
  <c r="V46" i="60"/>
  <c r="Y26" i="61"/>
  <c r="R53" i="61" s="1"/>
  <c r="K21" i="36" s="1"/>
  <c r="Y41" i="61"/>
  <c r="Y32" i="63"/>
  <c r="S53" i="63" s="1"/>
  <c r="L23" i="36" s="1"/>
  <c r="Y28" i="65"/>
  <c r="R55" i="65" s="1"/>
  <c r="Q25" i="36" s="1"/>
  <c r="Y39" i="65"/>
  <c r="Y27" i="67"/>
  <c r="R54" i="67" s="1"/>
  <c r="N27" i="36" s="1"/>
  <c r="Y38" i="67"/>
  <c r="S56" i="67" s="1"/>
  <c r="T27" i="36" s="1"/>
  <c r="Y25" i="71"/>
  <c r="Y36" i="71"/>
  <c r="S54" i="71" s="1"/>
  <c r="O31" i="36" s="1"/>
  <c r="Y27" i="49"/>
  <c r="R54" i="49" s="1"/>
  <c r="N10" i="36" s="1"/>
  <c r="Y38" i="49"/>
  <c r="S56" i="49" s="1"/>
  <c r="T10" i="36" s="1"/>
  <c r="Y42" i="49"/>
  <c r="Y33" i="51"/>
  <c r="S51" i="51" s="1"/>
  <c r="F12" i="36" s="1"/>
  <c r="Y41" i="51"/>
  <c r="Y32" i="53"/>
  <c r="S53" i="53" s="1"/>
  <c r="L14" i="36" s="1"/>
  <c r="Y40" i="53"/>
  <c r="Y28" i="56"/>
  <c r="R55" i="56" s="1"/>
  <c r="Q16" i="36" s="1"/>
  <c r="Y39" i="56"/>
  <c r="Y38" i="58"/>
  <c r="S56" i="58" s="1"/>
  <c r="T18" i="36" s="1"/>
  <c r="Y37" i="60"/>
  <c r="S55" i="60" s="1"/>
  <c r="R20" i="36" s="1"/>
  <c r="Y25" i="62"/>
  <c r="Y36" i="62"/>
  <c r="S54" i="62" s="1"/>
  <c r="O22" i="36" s="1"/>
  <c r="Y28" i="64"/>
  <c r="R55" i="64" s="1"/>
  <c r="Q24" i="36" s="1"/>
  <c r="Y39" i="64"/>
  <c r="Y27" i="66"/>
  <c r="R54" i="66" s="1"/>
  <c r="N26" i="36" s="1"/>
  <c r="Y34" i="66"/>
  <c r="S52" i="66" s="1"/>
  <c r="I26" i="36" s="1"/>
  <c r="Y42" i="66"/>
  <c r="Y33" i="68"/>
  <c r="S51" i="68" s="1"/>
  <c r="F28" i="36" s="1"/>
  <c r="Y41" i="68"/>
  <c r="Y25" i="70"/>
  <c r="Y36" i="70"/>
  <c r="S54" i="70" s="1"/>
  <c r="O30" i="36" s="1"/>
  <c r="Y35" i="72"/>
  <c r="S57" i="72" s="1"/>
  <c r="Y39" i="72"/>
  <c r="Y27" i="48"/>
  <c r="R54" i="48" s="1"/>
  <c r="N9" i="36" s="1"/>
  <c r="Y34" i="48"/>
  <c r="Y38" i="48"/>
  <c r="S56" i="48" s="1"/>
  <c r="T9" i="36" s="1"/>
  <c r="Y42" i="48"/>
  <c r="Y26" i="50"/>
  <c r="R53" i="50" s="1"/>
  <c r="K11" i="36" s="1"/>
  <c r="Y33" i="50"/>
  <c r="S51" i="50" s="1"/>
  <c r="F11" i="36" s="1"/>
  <c r="Y37" i="50"/>
  <c r="S55" i="50" s="1"/>
  <c r="R11" i="36" s="1"/>
  <c r="Y41" i="50"/>
  <c r="Y25" i="52"/>
  <c r="Y32" i="52"/>
  <c r="S53" i="52" s="1"/>
  <c r="L13" i="36" s="1"/>
  <c r="Y36" i="52"/>
  <c r="S54" i="52" s="1"/>
  <c r="O13" i="36" s="1"/>
  <c r="Y40" i="52"/>
  <c r="Y28" i="54"/>
  <c r="R55" i="54" s="1"/>
  <c r="Q15" i="36" s="1"/>
  <c r="Y35" i="54"/>
  <c r="S57" i="54" s="1"/>
  <c r="Y39" i="54"/>
  <c r="Y27" i="57"/>
  <c r="R54" i="57" s="1"/>
  <c r="N17" i="36" s="1"/>
  <c r="Y34" i="57"/>
  <c r="Y38" i="57"/>
  <c r="S56" i="57" s="1"/>
  <c r="T17" i="36" s="1"/>
  <c r="Y42" i="57"/>
  <c r="Y26" i="59"/>
  <c r="R53" i="59" s="1"/>
  <c r="K19" i="36" s="1"/>
  <c r="Y33" i="59"/>
  <c r="S51" i="59" s="1"/>
  <c r="F19" i="36" s="1"/>
  <c r="Y37" i="59"/>
  <c r="S55" i="59" s="1"/>
  <c r="R19" i="36" s="1"/>
  <c r="Y41" i="59"/>
  <c r="Y25" i="61"/>
  <c r="Y32" i="61"/>
  <c r="S53" i="61" s="1"/>
  <c r="L21" i="36" s="1"/>
  <c r="Y36" i="61"/>
  <c r="S54" i="61" s="1"/>
  <c r="O21" i="36" s="1"/>
  <c r="Y40" i="61"/>
  <c r="Y28" i="63"/>
  <c r="R55" i="63" s="1"/>
  <c r="Q23" i="36" s="1"/>
  <c r="Y35" i="63"/>
  <c r="S57" i="63" s="1"/>
  <c r="Y39" i="63"/>
  <c r="Y27" i="65"/>
  <c r="R54" i="65" s="1"/>
  <c r="N25" i="36" s="1"/>
  <c r="Y34" i="65"/>
  <c r="Y38" i="65"/>
  <c r="S56" i="65" s="1"/>
  <c r="T25" i="36" s="1"/>
  <c r="Y42" i="65"/>
  <c r="Y26" i="67"/>
  <c r="R53" i="67" s="1"/>
  <c r="K27" i="36" s="1"/>
  <c r="Y33" i="67"/>
  <c r="S51" i="67" s="1"/>
  <c r="F27" i="36" s="1"/>
  <c r="Y37" i="67"/>
  <c r="S55" i="67" s="1"/>
  <c r="R27" i="36" s="1"/>
  <c r="Y41" i="67"/>
  <c r="Y25" i="69"/>
  <c r="Y28" i="71"/>
  <c r="R55" i="71" s="1"/>
  <c r="Q31" i="36" s="1"/>
  <c r="Y35" i="71"/>
  <c r="S57" i="71" s="1"/>
  <c r="Y39" i="71"/>
  <c r="M48" i="57"/>
  <c r="M30" i="57"/>
  <c r="M65" i="57" s="1"/>
  <c r="C155" i="76" s="1"/>
  <c r="D154" i="75" s="1"/>
  <c r="M48" i="65"/>
  <c r="M30" i="65"/>
  <c r="V48" i="48"/>
  <c r="V30" i="48"/>
  <c r="V48" i="65"/>
  <c r="V30" i="65"/>
  <c r="V65" i="65" s="1"/>
  <c r="C274" i="76" s="1"/>
  <c r="D273" i="75" s="1"/>
  <c r="M48" i="72"/>
  <c r="M30" i="72"/>
  <c r="M65" i="72" s="1"/>
  <c r="C365" i="76" s="1"/>
  <c r="D364" i="75" s="1"/>
  <c r="V48" i="56"/>
  <c r="V30" i="56"/>
  <c r="M48" i="63"/>
  <c r="M30" i="63"/>
  <c r="V48" i="64"/>
  <c r="V30" i="64"/>
  <c r="M48" i="71"/>
  <c r="M30" i="71"/>
  <c r="M48" i="52"/>
  <c r="M30" i="52"/>
  <c r="V48" i="53"/>
  <c r="V30" i="53"/>
  <c r="M48" i="61"/>
  <c r="M30" i="61"/>
  <c r="V48" i="62"/>
  <c r="V30" i="62"/>
  <c r="M48" i="69"/>
  <c r="M30" i="69"/>
  <c r="V48" i="70"/>
  <c r="V30" i="70"/>
  <c r="V46" i="69"/>
  <c r="Y28" i="48"/>
  <c r="R55" i="48" s="1"/>
  <c r="Q9" i="36" s="1"/>
  <c r="Y39" i="48"/>
  <c r="Y27" i="50"/>
  <c r="R54" i="50" s="1"/>
  <c r="N11" i="36" s="1"/>
  <c r="Y38" i="50"/>
  <c r="S56" i="50" s="1"/>
  <c r="T11" i="36" s="1"/>
  <c r="Y33" i="52"/>
  <c r="S51" i="52" s="1"/>
  <c r="F13" i="36" s="1"/>
  <c r="Y41" i="52"/>
  <c r="Y32" i="54"/>
  <c r="S53" i="54" s="1"/>
  <c r="L15" i="36" s="1"/>
  <c r="Y40" i="54"/>
  <c r="Y28" i="57"/>
  <c r="R55" i="57" s="1"/>
  <c r="Q17" i="36" s="1"/>
  <c r="Y39" i="57"/>
  <c r="Y27" i="59"/>
  <c r="R54" i="59" s="1"/>
  <c r="N19" i="36" s="1"/>
  <c r="Y38" i="59"/>
  <c r="S56" i="59" s="1"/>
  <c r="T19" i="36" s="1"/>
  <c r="Y33" i="61"/>
  <c r="S51" i="61" s="1"/>
  <c r="F21" i="36" s="1"/>
  <c r="Y37" i="61"/>
  <c r="S55" i="61" s="1"/>
  <c r="R21" i="36" s="1"/>
  <c r="Y25" i="63"/>
  <c r="Y36" i="63"/>
  <c r="S54" i="63" s="1"/>
  <c r="O23" i="36" s="1"/>
  <c r="Y35" i="65"/>
  <c r="S57" i="65" s="1"/>
  <c r="Y34" i="67"/>
  <c r="Y42" i="67"/>
  <c r="Y26" i="69"/>
  <c r="R53" i="69" s="1"/>
  <c r="K29" i="36" s="1"/>
  <c r="Y41" i="69"/>
  <c r="Y32" i="71"/>
  <c r="S53" i="71" s="1"/>
  <c r="L31" i="36" s="1"/>
  <c r="Y34" i="49"/>
  <c r="S52" i="49" s="1"/>
  <c r="I10" i="36" s="1"/>
  <c r="Y26" i="51"/>
  <c r="R53" i="51" s="1"/>
  <c r="K12" i="36" s="1"/>
  <c r="Y37" i="51"/>
  <c r="S55" i="51" s="1"/>
  <c r="R12" i="36" s="1"/>
  <c r="Y25" i="53"/>
  <c r="Y36" i="53"/>
  <c r="S54" i="53" s="1"/>
  <c r="O14" i="36" s="1"/>
  <c r="Y35" i="56"/>
  <c r="S57" i="56" s="1"/>
  <c r="Y27" i="58"/>
  <c r="R54" i="58" s="1"/>
  <c r="N18" i="36" s="1"/>
  <c r="Y34" i="58"/>
  <c r="S52" i="58" s="1"/>
  <c r="I18" i="36" s="1"/>
  <c r="Y42" i="58"/>
  <c r="Y26" i="60"/>
  <c r="R53" i="60" s="1"/>
  <c r="K20" i="36" s="1"/>
  <c r="Y33" i="60"/>
  <c r="S51" i="60" s="1"/>
  <c r="F20" i="36" s="1"/>
  <c r="Y41" i="60"/>
  <c r="Y32" i="62"/>
  <c r="S53" i="62" s="1"/>
  <c r="L22" i="36" s="1"/>
  <c r="Y40" i="62"/>
  <c r="Y35" i="64"/>
  <c r="S57" i="64" s="1"/>
  <c r="Y38" i="66"/>
  <c r="S56" i="66" s="1"/>
  <c r="T26" i="36" s="1"/>
  <c r="V46" i="67"/>
  <c r="Y26" i="68"/>
  <c r="R53" i="68" s="1"/>
  <c r="K28" i="36" s="1"/>
  <c r="Y37" i="68"/>
  <c r="S55" i="68" s="1"/>
  <c r="R28" i="36" s="1"/>
  <c r="Y32" i="70"/>
  <c r="S53" i="70" s="1"/>
  <c r="L30" i="36" s="1"/>
  <c r="Y40" i="70"/>
  <c r="Y28" i="72"/>
  <c r="R55" i="72" s="1"/>
  <c r="Q32" i="36" s="1"/>
  <c r="Y28" i="53"/>
  <c r="R55" i="53" s="1"/>
  <c r="Q14" i="36" s="1"/>
  <c r="Y35" i="53"/>
  <c r="S57" i="53" s="1"/>
  <c r="Y39" i="53"/>
  <c r="Y27" i="56"/>
  <c r="R54" i="56" s="1"/>
  <c r="N16" i="36" s="1"/>
  <c r="Y34" i="56"/>
  <c r="Y38" i="56"/>
  <c r="S56" i="56" s="1"/>
  <c r="T16" i="36" s="1"/>
  <c r="Y42" i="56"/>
  <c r="Y26" i="58"/>
  <c r="R53" i="58" s="1"/>
  <c r="K18" i="36" s="1"/>
  <c r="Y33" i="58"/>
  <c r="S51" i="58" s="1"/>
  <c r="F18" i="36" s="1"/>
  <c r="Y37" i="58"/>
  <c r="S55" i="58" s="1"/>
  <c r="R18" i="36" s="1"/>
  <c r="Y41" i="58"/>
  <c r="Y25" i="60"/>
  <c r="Y32" i="60"/>
  <c r="S53" i="60" s="1"/>
  <c r="L20" i="36" s="1"/>
  <c r="Y36" i="60"/>
  <c r="S54" i="60" s="1"/>
  <c r="O20" i="36" s="1"/>
  <c r="Y40" i="60"/>
  <c r="Y28" i="62"/>
  <c r="R55" i="62" s="1"/>
  <c r="Q22" i="36" s="1"/>
  <c r="Y35" i="62"/>
  <c r="S57" i="62" s="1"/>
  <c r="Y39" i="62"/>
  <c r="Y27" i="64"/>
  <c r="R54" i="64" s="1"/>
  <c r="N24" i="36" s="1"/>
  <c r="Y34" i="64"/>
  <c r="Y38" i="64"/>
  <c r="S56" i="64" s="1"/>
  <c r="T24" i="36" s="1"/>
  <c r="Y42" i="64"/>
  <c r="V46" i="65"/>
  <c r="Y26" i="66"/>
  <c r="R53" i="66" s="1"/>
  <c r="K26" i="36" s="1"/>
  <c r="Y33" i="66"/>
  <c r="S51" i="66" s="1"/>
  <c r="F26" i="36" s="1"/>
  <c r="Y37" i="66"/>
  <c r="S55" i="66" s="1"/>
  <c r="R26" i="36" s="1"/>
  <c r="Y41" i="66"/>
  <c r="Y40" i="57"/>
  <c r="Y40" i="48"/>
  <c r="Y32" i="69"/>
  <c r="S53" i="69" s="1"/>
  <c r="L29" i="36" s="1"/>
  <c r="Y33" i="69"/>
  <c r="S51" i="69" s="1"/>
  <c r="F29" i="36" s="1"/>
  <c r="Y34" i="69"/>
  <c r="S52" i="69" s="1"/>
  <c r="I29" i="36" s="1"/>
  <c r="Y36" i="69"/>
  <c r="S54" i="69" s="1"/>
  <c r="O29" i="36" s="1"/>
  <c r="Y37" i="69"/>
  <c r="S55" i="69" s="1"/>
  <c r="R29" i="36" s="1"/>
  <c r="Y38" i="69"/>
  <c r="S56" i="69" s="1"/>
  <c r="T29" i="36" s="1"/>
  <c r="H48" i="72"/>
  <c r="H30" i="72"/>
  <c r="J48" i="72"/>
  <c r="J30" i="72"/>
  <c r="J65" i="72" s="1"/>
  <c r="C362" i="76" s="1"/>
  <c r="D361" i="75" s="1"/>
  <c r="L48" i="72"/>
  <c r="L30" i="72"/>
  <c r="L65" i="72" s="1"/>
  <c r="C364" i="76" s="1"/>
  <c r="D363" i="75" s="1"/>
  <c r="P30" i="72"/>
  <c r="P48" i="72"/>
  <c r="W24" i="72"/>
  <c r="W30" i="72" s="1"/>
  <c r="R30" i="72"/>
  <c r="R48" i="72"/>
  <c r="T30" i="72"/>
  <c r="T48" i="72"/>
  <c r="G48" i="72"/>
  <c r="G30" i="72"/>
  <c r="N24" i="72"/>
  <c r="I48" i="72"/>
  <c r="I30" i="72"/>
  <c r="K30" i="72"/>
  <c r="K65" i="72" s="1"/>
  <c r="C363" i="76" s="1"/>
  <c r="D362" i="75" s="1"/>
  <c r="Q48" i="72"/>
  <c r="Q30" i="72"/>
  <c r="S48" i="72"/>
  <c r="S30" i="72"/>
  <c r="U48" i="72"/>
  <c r="U30" i="72"/>
  <c r="W44" i="72"/>
  <c r="H48" i="71"/>
  <c r="H30" i="71"/>
  <c r="J48" i="71"/>
  <c r="J30" i="71"/>
  <c r="L48" i="71"/>
  <c r="L30" i="71"/>
  <c r="L65" i="71" s="1"/>
  <c r="C350" i="76" s="1"/>
  <c r="D349" i="75" s="1"/>
  <c r="P30" i="71"/>
  <c r="P65" i="71" s="1"/>
  <c r="C352" i="76" s="1"/>
  <c r="D351" i="75" s="1"/>
  <c r="P48" i="71"/>
  <c r="W24" i="71"/>
  <c r="W30" i="71" s="1"/>
  <c r="R30" i="71"/>
  <c r="R48" i="71"/>
  <c r="T30" i="71"/>
  <c r="T65" i="71" s="1"/>
  <c r="C356" i="76" s="1"/>
  <c r="D355" i="75" s="1"/>
  <c r="G48" i="71"/>
  <c r="G30" i="71"/>
  <c r="N24" i="71"/>
  <c r="I48" i="71"/>
  <c r="I30" i="71"/>
  <c r="K48" i="71"/>
  <c r="K30" i="71"/>
  <c r="Q48" i="71"/>
  <c r="Q30" i="71"/>
  <c r="S48" i="71"/>
  <c r="S30" i="71"/>
  <c r="U48" i="71"/>
  <c r="U30" i="71"/>
  <c r="N44" i="71"/>
  <c r="H48" i="70"/>
  <c r="H30" i="70"/>
  <c r="J48" i="70"/>
  <c r="J30" i="70"/>
  <c r="L48" i="70"/>
  <c r="L30" i="70"/>
  <c r="P30" i="70"/>
  <c r="P48" i="70"/>
  <c r="W24" i="70"/>
  <c r="W30" i="70" s="1"/>
  <c r="R30" i="70"/>
  <c r="R48" i="70"/>
  <c r="T30" i="70"/>
  <c r="T65" i="70" s="1"/>
  <c r="C342" i="76" s="1"/>
  <c r="D341" i="75" s="1"/>
  <c r="T48" i="70"/>
  <c r="G48" i="70"/>
  <c r="G30" i="70"/>
  <c r="N24" i="70"/>
  <c r="I48" i="70"/>
  <c r="I30" i="70"/>
  <c r="K48" i="70"/>
  <c r="K30" i="70"/>
  <c r="Q48" i="70"/>
  <c r="Q30" i="70"/>
  <c r="S48" i="70"/>
  <c r="S30" i="70"/>
  <c r="U48" i="70"/>
  <c r="U30" i="70"/>
  <c r="N44" i="70"/>
  <c r="W44" i="70"/>
  <c r="H48" i="69"/>
  <c r="H30" i="69"/>
  <c r="J48" i="69"/>
  <c r="J30" i="69"/>
  <c r="J65" i="69" s="1"/>
  <c r="C320" i="76" s="1"/>
  <c r="D319" i="75" s="1"/>
  <c r="L48" i="69"/>
  <c r="L30" i="69"/>
  <c r="P30" i="69"/>
  <c r="P48" i="69"/>
  <c r="W24" i="69"/>
  <c r="W30" i="69" s="1"/>
  <c r="R30" i="69"/>
  <c r="R48" i="69"/>
  <c r="T30" i="69"/>
  <c r="G48" i="69"/>
  <c r="G30" i="69"/>
  <c r="N24" i="69"/>
  <c r="I48" i="69"/>
  <c r="I30" i="69"/>
  <c r="K48" i="69"/>
  <c r="K30" i="69"/>
  <c r="Q48" i="69"/>
  <c r="Q30" i="69"/>
  <c r="S48" i="69"/>
  <c r="S30" i="69"/>
  <c r="U48" i="69"/>
  <c r="U30" i="69"/>
  <c r="N44" i="69"/>
  <c r="G48" i="68"/>
  <c r="G30" i="68"/>
  <c r="N24" i="68"/>
  <c r="I48" i="68"/>
  <c r="I30" i="68"/>
  <c r="K48" i="68"/>
  <c r="K30" i="68"/>
  <c r="K65" i="68" s="1"/>
  <c r="C307" i="76" s="1"/>
  <c r="D306" i="75" s="1"/>
  <c r="Q48" i="68"/>
  <c r="Q30" i="68"/>
  <c r="S48" i="68"/>
  <c r="S30" i="68"/>
  <c r="U48" i="68"/>
  <c r="U30" i="68"/>
  <c r="U65" i="68" s="1"/>
  <c r="C315" i="76" s="1"/>
  <c r="D314" i="75" s="1"/>
  <c r="H48" i="68"/>
  <c r="H30" i="68"/>
  <c r="J48" i="68"/>
  <c r="J30" i="68"/>
  <c r="L48" i="68"/>
  <c r="L30" i="68"/>
  <c r="L65" i="68" s="1"/>
  <c r="C308" i="76" s="1"/>
  <c r="D307" i="75" s="1"/>
  <c r="P30" i="68"/>
  <c r="P48" i="68"/>
  <c r="W24" i="68"/>
  <c r="W30" i="68" s="1"/>
  <c r="R30" i="68"/>
  <c r="R65" i="68" s="1"/>
  <c r="C312" i="76" s="1"/>
  <c r="D311" i="75" s="1"/>
  <c r="T30" i="68"/>
  <c r="T65" i="68" s="1"/>
  <c r="C314" i="76" s="1"/>
  <c r="D313" i="75" s="1"/>
  <c r="T48" i="68"/>
  <c r="N44" i="68"/>
  <c r="H48" i="67"/>
  <c r="H30" i="67"/>
  <c r="J48" i="67"/>
  <c r="J30" i="67"/>
  <c r="L48" i="67"/>
  <c r="L30" i="67"/>
  <c r="P30" i="67"/>
  <c r="P48" i="67"/>
  <c r="W24" i="67"/>
  <c r="W30" i="67" s="1"/>
  <c r="R30" i="67"/>
  <c r="R48" i="67"/>
  <c r="T30" i="67"/>
  <c r="T48" i="67"/>
  <c r="G48" i="67"/>
  <c r="G30" i="67"/>
  <c r="N24" i="67"/>
  <c r="I48" i="67"/>
  <c r="I30" i="67"/>
  <c r="K48" i="67"/>
  <c r="K30" i="67"/>
  <c r="Q48" i="67"/>
  <c r="Q30" i="67"/>
  <c r="S48" i="67"/>
  <c r="S30" i="67"/>
  <c r="U48" i="67"/>
  <c r="U30" i="67"/>
  <c r="N44" i="67"/>
  <c r="W44" i="67"/>
  <c r="H48" i="66"/>
  <c r="H30" i="66"/>
  <c r="J48" i="66"/>
  <c r="J30" i="66"/>
  <c r="J65" i="66" s="1"/>
  <c r="C278" i="76" s="1"/>
  <c r="D277" i="75" s="1"/>
  <c r="L48" i="66"/>
  <c r="L30" i="66"/>
  <c r="L65" i="66" s="1"/>
  <c r="C280" i="76" s="1"/>
  <c r="D279" i="75" s="1"/>
  <c r="P30" i="66"/>
  <c r="P65" i="66" s="1"/>
  <c r="C282" i="76" s="1"/>
  <c r="D281" i="75" s="1"/>
  <c r="P48" i="66"/>
  <c r="W24" i="66"/>
  <c r="W30" i="66" s="1"/>
  <c r="R30" i="66"/>
  <c r="R48" i="66"/>
  <c r="T30" i="66"/>
  <c r="T48" i="66"/>
  <c r="G48" i="66"/>
  <c r="G30" i="66"/>
  <c r="N24" i="66"/>
  <c r="I48" i="66"/>
  <c r="I30" i="66"/>
  <c r="K48" i="66"/>
  <c r="K30" i="66"/>
  <c r="Q30" i="66"/>
  <c r="S48" i="66"/>
  <c r="S30" i="66"/>
  <c r="U48" i="66"/>
  <c r="U30" i="66"/>
  <c r="N44" i="66"/>
  <c r="G48" i="65"/>
  <c r="G30" i="65"/>
  <c r="N24" i="65"/>
  <c r="I48" i="65"/>
  <c r="I30" i="65"/>
  <c r="K48" i="65"/>
  <c r="K30" i="65"/>
  <c r="Q48" i="65"/>
  <c r="Q30" i="65"/>
  <c r="S48" i="65"/>
  <c r="S30" i="65"/>
  <c r="U48" i="65"/>
  <c r="U30" i="65"/>
  <c r="H48" i="65"/>
  <c r="H30" i="65"/>
  <c r="J48" i="65"/>
  <c r="J30" i="65"/>
  <c r="L48" i="65"/>
  <c r="L30" i="65"/>
  <c r="P30" i="65"/>
  <c r="P65" i="65" s="1"/>
  <c r="C268" i="76" s="1"/>
  <c r="D267" i="75" s="1"/>
  <c r="P48" i="65"/>
  <c r="W24" i="65"/>
  <c r="W30" i="65" s="1"/>
  <c r="R30" i="65"/>
  <c r="R48" i="65"/>
  <c r="T30" i="65"/>
  <c r="T48" i="65"/>
  <c r="N44" i="65"/>
  <c r="W44" i="65"/>
  <c r="H48" i="64"/>
  <c r="H30" i="64"/>
  <c r="J48" i="64"/>
  <c r="J30" i="64"/>
  <c r="L48" i="64"/>
  <c r="L30" i="64"/>
  <c r="P30" i="64"/>
  <c r="P65" i="64" s="1"/>
  <c r="C254" i="76" s="1"/>
  <c r="D253" i="75" s="1"/>
  <c r="P48" i="64"/>
  <c r="W24" i="64"/>
  <c r="W30" i="64" s="1"/>
  <c r="R30" i="64"/>
  <c r="R48" i="64"/>
  <c r="T30" i="64"/>
  <c r="T48" i="64"/>
  <c r="G48" i="64"/>
  <c r="G30" i="64"/>
  <c r="N24" i="64"/>
  <c r="I48" i="64"/>
  <c r="I30" i="64"/>
  <c r="K48" i="64"/>
  <c r="K30" i="64"/>
  <c r="Q48" i="64"/>
  <c r="Q30" i="64"/>
  <c r="S48" i="64"/>
  <c r="S30" i="64"/>
  <c r="U48" i="64"/>
  <c r="U30" i="64"/>
  <c r="N44" i="64"/>
  <c r="W44" i="64"/>
  <c r="H48" i="63"/>
  <c r="H30" i="63"/>
  <c r="H65" i="63" s="1"/>
  <c r="C234" i="76" s="1"/>
  <c r="D233" i="75" s="1"/>
  <c r="J48" i="63"/>
  <c r="J30" i="63"/>
  <c r="L48" i="63"/>
  <c r="L30" i="63"/>
  <c r="P30" i="63"/>
  <c r="P65" i="63" s="1"/>
  <c r="C240" i="76" s="1"/>
  <c r="D239" i="75" s="1"/>
  <c r="P48" i="63"/>
  <c r="W24" i="63"/>
  <c r="W30" i="63" s="1"/>
  <c r="R30" i="63"/>
  <c r="R65" i="63" s="1"/>
  <c r="C242" i="76" s="1"/>
  <c r="D241" i="75" s="1"/>
  <c r="R48" i="63"/>
  <c r="T30" i="63"/>
  <c r="T48" i="63"/>
  <c r="G48" i="63"/>
  <c r="G30" i="63"/>
  <c r="N24" i="63"/>
  <c r="I48" i="63"/>
  <c r="I30" i="63"/>
  <c r="K48" i="63"/>
  <c r="K30" i="63"/>
  <c r="Q30" i="63"/>
  <c r="Q65" i="63" s="1"/>
  <c r="C241" i="76" s="1"/>
  <c r="D240" i="75" s="1"/>
  <c r="S48" i="63"/>
  <c r="S30" i="63"/>
  <c r="U48" i="63"/>
  <c r="U30" i="63"/>
  <c r="H46" i="63"/>
  <c r="N44" i="63"/>
  <c r="H48" i="62"/>
  <c r="H30" i="62"/>
  <c r="J48" i="62"/>
  <c r="J30" i="62"/>
  <c r="L48" i="62"/>
  <c r="L30" i="62"/>
  <c r="P30" i="62"/>
  <c r="P65" i="62" s="1"/>
  <c r="C226" i="76" s="1"/>
  <c r="D225" i="75" s="1"/>
  <c r="P48" i="62"/>
  <c r="W24" i="62"/>
  <c r="W30" i="62" s="1"/>
  <c r="R30" i="62"/>
  <c r="R65" i="62" s="1"/>
  <c r="C228" i="76" s="1"/>
  <c r="D227" i="75" s="1"/>
  <c r="R48" i="62"/>
  <c r="T30" i="62"/>
  <c r="T48" i="62"/>
  <c r="G48" i="62"/>
  <c r="G30" i="62"/>
  <c r="N24" i="62"/>
  <c r="I48" i="62"/>
  <c r="I30" i="62"/>
  <c r="K48" i="62"/>
  <c r="K30" i="62"/>
  <c r="Q48" i="62"/>
  <c r="Q30" i="62"/>
  <c r="S48" i="62"/>
  <c r="S30" i="62"/>
  <c r="U48" i="62"/>
  <c r="U30" i="62"/>
  <c r="N44" i="62"/>
  <c r="W44" i="62"/>
  <c r="H48" i="61"/>
  <c r="H30" i="61"/>
  <c r="J48" i="61"/>
  <c r="J30" i="61"/>
  <c r="L48" i="61"/>
  <c r="L30" i="61"/>
  <c r="P30" i="61"/>
  <c r="P48" i="61"/>
  <c r="W24" i="61"/>
  <c r="W30" i="61" s="1"/>
  <c r="R30" i="61"/>
  <c r="R48" i="61"/>
  <c r="T30" i="61"/>
  <c r="T48" i="61"/>
  <c r="G48" i="61"/>
  <c r="G30" i="61"/>
  <c r="N24" i="61"/>
  <c r="I48" i="61"/>
  <c r="I30" i="61"/>
  <c r="K48" i="61"/>
  <c r="K30" i="61"/>
  <c r="Q48" i="61"/>
  <c r="Q30" i="61"/>
  <c r="S48" i="61"/>
  <c r="S30" i="61"/>
  <c r="U48" i="61"/>
  <c r="U30" i="61"/>
  <c r="N44" i="61"/>
  <c r="W44" i="61"/>
  <c r="H48" i="60"/>
  <c r="H30" i="60"/>
  <c r="J48" i="60"/>
  <c r="J30" i="60"/>
  <c r="J65" i="60" s="1"/>
  <c r="C194" i="76" s="1"/>
  <c r="D193" i="75" s="1"/>
  <c r="L48" i="60"/>
  <c r="L30" i="60"/>
  <c r="P30" i="60"/>
  <c r="P48" i="60"/>
  <c r="W24" i="60"/>
  <c r="W30" i="60" s="1"/>
  <c r="R30" i="60"/>
  <c r="R48" i="60"/>
  <c r="T30" i="60"/>
  <c r="T65" i="60" s="1"/>
  <c r="C202" i="76" s="1"/>
  <c r="D201" i="75" s="1"/>
  <c r="T48" i="60"/>
  <c r="G48" i="60"/>
  <c r="G30" i="60"/>
  <c r="N24" i="60"/>
  <c r="I48" i="60"/>
  <c r="I30" i="60"/>
  <c r="K48" i="60"/>
  <c r="K30" i="60"/>
  <c r="Q48" i="60"/>
  <c r="Q30" i="60"/>
  <c r="S48" i="60"/>
  <c r="S30" i="60"/>
  <c r="U48" i="60"/>
  <c r="U30" i="60"/>
  <c r="N44" i="60"/>
  <c r="W44" i="60"/>
  <c r="G48" i="59"/>
  <c r="G30" i="59"/>
  <c r="G65" i="59" s="1"/>
  <c r="C177" i="76" s="1"/>
  <c r="D176" i="75" s="1"/>
  <c r="N24" i="59"/>
  <c r="I48" i="59"/>
  <c r="I30" i="59"/>
  <c r="K48" i="59"/>
  <c r="K30" i="59"/>
  <c r="Q48" i="59"/>
  <c r="Q30" i="59"/>
  <c r="S48" i="59"/>
  <c r="S30" i="59"/>
  <c r="S65" i="59" s="1"/>
  <c r="C187" i="76" s="1"/>
  <c r="D186" i="75" s="1"/>
  <c r="U48" i="59"/>
  <c r="U30" i="59"/>
  <c r="H48" i="59"/>
  <c r="H30" i="59"/>
  <c r="J48" i="59"/>
  <c r="J30" i="59"/>
  <c r="L30" i="59"/>
  <c r="L65" i="59" s="1"/>
  <c r="C182" i="76" s="1"/>
  <c r="D181" i="75" s="1"/>
  <c r="P30" i="59"/>
  <c r="P48" i="59"/>
  <c r="W24" i="59"/>
  <c r="W30" i="59" s="1"/>
  <c r="R30" i="59"/>
  <c r="R48" i="59"/>
  <c r="T30" i="59"/>
  <c r="T48" i="59"/>
  <c r="W44" i="59"/>
  <c r="H48" i="58"/>
  <c r="H30" i="58"/>
  <c r="H65" i="58" s="1"/>
  <c r="C164" i="76" s="1"/>
  <c r="D163" i="75" s="1"/>
  <c r="J48" i="58"/>
  <c r="J30" i="58"/>
  <c r="J65" i="58" s="1"/>
  <c r="C166" i="76" s="1"/>
  <c r="D165" i="75" s="1"/>
  <c r="L48" i="58"/>
  <c r="L30" i="58"/>
  <c r="P30" i="58"/>
  <c r="P65" i="58" s="1"/>
  <c r="C170" i="76" s="1"/>
  <c r="D169" i="75" s="1"/>
  <c r="P48" i="58"/>
  <c r="W24" i="58"/>
  <c r="W30" i="58" s="1"/>
  <c r="R30" i="58"/>
  <c r="R48" i="58"/>
  <c r="T30" i="58"/>
  <c r="T48" i="58"/>
  <c r="G48" i="58"/>
  <c r="G30" i="58"/>
  <c r="N24" i="58"/>
  <c r="I48" i="58"/>
  <c r="I30" i="58"/>
  <c r="K48" i="58"/>
  <c r="K30" i="58"/>
  <c r="Q48" i="58"/>
  <c r="Q30" i="58"/>
  <c r="S48" i="58"/>
  <c r="S30" i="58"/>
  <c r="U48" i="58"/>
  <c r="U30" i="58"/>
  <c r="J46" i="58"/>
  <c r="N44" i="58"/>
  <c r="W44" i="58"/>
  <c r="H48" i="57"/>
  <c r="H30" i="57"/>
  <c r="J48" i="57"/>
  <c r="J30" i="57"/>
  <c r="L48" i="57"/>
  <c r="L30" i="57"/>
  <c r="P30" i="57"/>
  <c r="P48" i="57"/>
  <c r="W24" i="57"/>
  <c r="W30" i="57" s="1"/>
  <c r="R30" i="57"/>
  <c r="R48" i="57"/>
  <c r="T30" i="57"/>
  <c r="T48" i="57"/>
  <c r="G48" i="57"/>
  <c r="G30" i="57"/>
  <c r="N24" i="57"/>
  <c r="I48" i="57"/>
  <c r="I30" i="57"/>
  <c r="K48" i="57"/>
  <c r="K30" i="57"/>
  <c r="Q48" i="57"/>
  <c r="Q30" i="57"/>
  <c r="S48" i="57"/>
  <c r="S30" i="57"/>
  <c r="U48" i="57"/>
  <c r="U30" i="57"/>
  <c r="N44" i="57"/>
  <c r="W44" i="57"/>
  <c r="H48" i="56"/>
  <c r="H30" i="56"/>
  <c r="H65" i="56" s="1"/>
  <c r="J48" i="56"/>
  <c r="J30" i="56"/>
  <c r="J65" i="56" s="1"/>
  <c r="L48" i="56"/>
  <c r="L30" i="56"/>
  <c r="P30" i="56"/>
  <c r="P65" i="56" s="1"/>
  <c r="C142" i="76" s="1"/>
  <c r="D141" i="75" s="1"/>
  <c r="P48" i="56"/>
  <c r="W24" i="56"/>
  <c r="W30" i="56" s="1"/>
  <c r="R30" i="56"/>
  <c r="R65" i="56" s="1"/>
  <c r="C144" i="76" s="1"/>
  <c r="D143" i="75" s="1"/>
  <c r="R48" i="56"/>
  <c r="T30" i="56"/>
  <c r="T48" i="56"/>
  <c r="G48" i="56"/>
  <c r="G30" i="56"/>
  <c r="N24" i="56"/>
  <c r="I48" i="56"/>
  <c r="I30" i="56"/>
  <c r="I65" i="56" s="1"/>
  <c r="K48" i="56"/>
  <c r="K30" i="56"/>
  <c r="K65" i="56" s="1"/>
  <c r="Q30" i="56"/>
  <c r="Q65" i="56" s="1"/>
  <c r="C143" i="76" s="1"/>
  <c r="D142" i="75" s="1"/>
  <c r="S48" i="56"/>
  <c r="S30" i="56"/>
  <c r="U48" i="56"/>
  <c r="U30" i="56"/>
  <c r="N44" i="56"/>
  <c r="H48" i="54"/>
  <c r="H30" i="54"/>
  <c r="J48" i="54"/>
  <c r="J30" i="54"/>
  <c r="J65" i="54" s="1"/>
  <c r="L48" i="54"/>
  <c r="L30" i="54"/>
  <c r="L65" i="54" s="1"/>
  <c r="P30" i="54"/>
  <c r="P65" i="54" s="1"/>
  <c r="C128" i="76" s="1"/>
  <c r="D127" i="75" s="1"/>
  <c r="P48" i="54"/>
  <c r="W24" i="54"/>
  <c r="W30" i="54" s="1"/>
  <c r="R30" i="54"/>
  <c r="R65" i="54" s="1"/>
  <c r="R48" i="54"/>
  <c r="T30" i="54"/>
  <c r="T65" i="54" s="1"/>
  <c r="T48" i="54"/>
  <c r="G48" i="54"/>
  <c r="G30" i="54"/>
  <c r="G65" i="54" s="1"/>
  <c r="C121" i="76" s="1"/>
  <c r="D120" i="75" s="1"/>
  <c r="N24" i="54"/>
  <c r="I48" i="54"/>
  <c r="I30" i="54"/>
  <c r="I65" i="54" s="1"/>
  <c r="K48" i="54"/>
  <c r="K30" i="54"/>
  <c r="K65" i="54" s="1"/>
  <c r="Q48" i="54"/>
  <c r="Q30" i="54"/>
  <c r="Q65" i="54" s="1"/>
  <c r="S48" i="54"/>
  <c r="S30" i="54"/>
  <c r="S65" i="54" s="1"/>
  <c r="U48" i="54"/>
  <c r="U30" i="54"/>
  <c r="U65" i="54" s="1"/>
  <c r="N44" i="54"/>
  <c r="W44" i="54"/>
  <c r="G48" i="53"/>
  <c r="G30" i="53"/>
  <c r="G65" i="53" s="1"/>
  <c r="N24" i="53"/>
  <c r="I48" i="53"/>
  <c r="I30" i="53"/>
  <c r="K48" i="53"/>
  <c r="K30" i="53"/>
  <c r="K65" i="53" s="1"/>
  <c r="Q48" i="53"/>
  <c r="Q30" i="53"/>
  <c r="Q65" i="53" s="1"/>
  <c r="S48" i="53"/>
  <c r="S30" i="53"/>
  <c r="S65" i="53" s="1"/>
  <c r="U48" i="53"/>
  <c r="U30" i="53"/>
  <c r="U65" i="53" s="1"/>
  <c r="H48" i="53"/>
  <c r="H30" i="53"/>
  <c r="H65" i="53" s="1"/>
  <c r="J48" i="53"/>
  <c r="J30" i="53"/>
  <c r="J65" i="53" s="1"/>
  <c r="L48" i="53"/>
  <c r="L30" i="53"/>
  <c r="L65" i="53" s="1"/>
  <c r="P30" i="53"/>
  <c r="P65" i="53" s="1"/>
  <c r="C114" i="76" s="1"/>
  <c r="D113" i="75" s="1"/>
  <c r="P48" i="53"/>
  <c r="W24" i="53"/>
  <c r="W30" i="53" s="1"/>
  <c r="R30" i="53"/>
  <c r="R65" i="53" s="1"/>
  <c r="R48" i="53"/>
  <c r="T30" i="53"/>
  <c r="T65" i="53" s="1"/>
  <c r="T48" i="53"/>
  <c r="N44" i="53"/>
  <c r="W44" i="53"/>
  <c r="H48" i="52"/>
  <c r="H30" i="52"/>
  <c r="H65" i="52" s="1"/>
  <c r="J48" i="52"/>
  <c r="J30" i="52"/>
  <c r="L48" i="52"/>
  <c r="L30" i="52"/>
  <c r="L65" i="52" s="1"/>
  <c r="P30" i="52"/>
  <c r="P65" i="52" s="1"/>
  <c r="C100" i="76" s="1"/>
  <c r="D99" i="75" s="1"/>
  <c r="P48" i="52"/>
  <c r="W24" i="52"/>
  <c r="W30" i="52" s="1"/>
  <c r="R30" i="52"/>
  <c r="R65" i="52" s="1"/>
  <c r="R48" i="52"/>
  <c r="T30" i="52"/>
  <c r="T65" i="52" s="1"/>
  <c r="T48" i="52"/>
  <c r="G48" i="52"/>
  <c r="G30" i="52"/>
  <c r="N24" i="52"/>
  <c r="I48" i="52"/>
  <c r="I30" i="52"/>
  <c r="I65" i="52" s="1"/>
  <c r="K48" i="52"/>
  <c r="K30" i="52"/>
  <c r="K65" i="52" s="1"/>
  <c r="Q48" i="52"/>
  <c r="Q30" i="52"/>
  <c r="Q65" i="52" s="1"/>
  <c r="S48" i="52"/>
  <c r="S30" i="52"/>
  <c r="S65" i="52" s="1"/>
  <c r="U48" i="52"/>
  <c r="U30" i="52"/>
  <c r="U65" i="52" s="1"/>
  <c r="N44" i="52"/>
  <c r="W44" i="52"/>
  <c r="G48" i="51"/>
  <c r="G30" i="51"/>
  <c r="N24" i="51"/>
  <c r="I48" i="51"/>
  <c r="I30" i="51"/>
  <c r="I65" i="51" s="1"/>
  <c r="K48" i="51"/>
  <c r="K30" i="51"/>
  <c r="Q48" i="51"/>
  <c r="Q30" i="51"/>
  <c r="Q65" i="51" s="1"/>
  <c r="S48" i="51"/>
  <c r="S30" i="51"/>
  <c r="S65" i="51" s="1"/>
  <c r="U48" i="51"/>
  <c r="U30" i="51"/>
  <c r="U65" i="51" s="1"/>
  <c r="C91" i="76" s="1"/>
  <c r="D90" i="75" s="1"/>
  <c r="H48" i="51"/>
  <c r="H30" i="51"/>
  <c r="H65" i="51" s="1"/>
  <c r="J48" i="51"/>
  <c r="J30" i="51"/>
  <c r="J65" i="51" s="1"/>
  <c r="L48" i="51"/>
  <c r="L30" i="51"/>
  <c r="L46" i="51" s="1"/>
  <c r="P30" i="51"/>
  <c r="P48" i="51"/>
  <c r="W24" i="51"/>
  <c r="W30" i="51" s="1"/>
  <c r="R30" i="51"/>
  <c r="R65" i="51" s="1"/>
  <c r="R48" i="51"/>
  <c r="T30" i="51"/>
  <c r="T65" i="51" s="1"/>
  <c r="T48" i="51"/>
  <c r="N44" i="51"/>
  <c r="W44" i="51"/>
  <c r="Y40" i="50"/>
  <c r="H48" i="50"/>
  <c r="H30" i="50"/>
  <c r="H65" i="50" s="1"/>
  <c r="J48" i="50"/>
  <c r="J30" i="50"/>
  <c r="J65" i="50" s="1"/>
  <c r="L48" i="50"/>
  <c r="L30" i="50"/>
  <c r="L65" i="50" s="1"/>
  <c r="P30" i="50"/>
  <c r="P48" i="50"/>
  <c r="W24" i="50"/>
  <c r="W30" i="50" s="1"/>
  <c r="R30" i="50"/>
  <c r="R65" i="50" s="1"/>
  <c r="R48" i="50"/>
  <c r="T30" i="50"/>
  <c r="T65" i="50" s="1"/>
  <c r="T48" i="50"/>
  <c r="G48" i="50"/>
  <c r="G30" i="50"/>
  <c r="N24" i="50"/>
  <c r="I48" i="50"/>
  <c r="I30" i="50"/>
  <c r="I65" i="50" s="1"/>
  <c r="K48" i="50"/>
  <c r="K30" i="50"/>
  <c r="K65" i="50" s="1"/>
  <c r="Q48" i="50"/>
  <c r="Q30" i="50"/>
  <c r="Q65" i="50" s="1"/>
  <c r="S48" i="50"/>
  <c r="S30" i="50"/>
  <c r="S65" i="50" s="1"/>
  <c r="U48" i="50"/>
  <c r="U30" i="50"/>
  <c r="U65" i="50" s="1"/>
  <c r="N44" i="50"/>
  <c r="W44" i="50"/>
  <c r="Y40" i="49"/>
  <c r="H48" i="49"/>
  <c r="H30" i="49"/>
  <c r="H65" i="49" s="1"/>
  <c r="P30" i="49"/>
  <c r="P48" i="49"/>
  <c r="W24" i="49"/>
  <c r="W30" i="49" s="1"/>
  <c r="G48" i="49"/>
  <c r="G30" i="49"/>
  <c r="N24" i="49"/>
  <c r="I48" i="49"/>
  <c r="I30" i="49"/>
  <c r="I65" i="49" s="1"/>
  <c r="K48" i="49"/>
  <c r="K30" i="49"/>
  <c r="K46" i="49" s="1"/>
  <c r="Q48" i="49"/>
  <c r="Q30" i="49"/>
  <c r="Q65" i="49" s="1"/>
  <c r="S48" i="49"/>
  <c r="S30" i="49"/>
  <c r="S65" i="49" s="1"/>
  <c r="U48" i="49"/>
  <c r="U30" i="49"/>
  <c r="U65" i="49" s="1"/>
  <c r="J48" i="49"/>
  <c r="J30" i="49"/>
  <c r="J65" i="49" s="1"/>
  <c r="L48" i="49"/>
  <c r="L30" i="49"/>
  <c r="L65" i="49" s="1"/>
  <c r="R30" i="49"/>
  <c r="R65" i="49" s="1"/>
  <c r="R48" i="49"/>
  <c r="T30" i="49"/>
  <c r="T65" i="49" s="1"/>
  <c r="T48" i="49"/>
  <c r="N44" i="49"/>
  <c r="W44" i="49"/>
  <c r="I48" i="48"/>
  <c r="I30" i="48"/>
  <c r="I65" i="48" s="1"/>
  <c r="S48" i="48"/>
  <c r="S30" i="48"/>
  <c r="S65" i="48" s="1"/>
  <c r="H48" i="48"/>
  <c r="H30" i="48"/>
  <c r="H65" i="48" s="1"/>
  <c r="J48" i="48"/>
  <c r="J30" i="48"/>
  <c r="J65" i="48" s="1"/>
  <c r="L48" i="48"/>
  <c r="L30" i="48"/>
  <c r="L65" i="48" s="1"/>
  <c r="P30" i="48"/>
  <c r="P48" i="48"/>
  <c r="W24" i="48"/>
  <c r="W30" i="48" s="1"/>
  <c r="R30" i="48"/>
  <c r="R65" i="48" s="1"/>
  <c r="R48" i="48"/>
  <c r="T30" i="48"/>
  <c r="T65" i="48" s="1"/>
  <c r="T48" i="48"/>
  <c r="G48" i="48"/>
  <c r="G30" i="48"/>
  <c r="G65" i="48" s="1"/>
  <c r="C37" i="76" s="1"/>
  <c r="D36" i="75" s="1"/>
  <c r="N24" i="48"/>
  <c r="K48" i="48"/>
  <c r="K30" i="48"/>
  <c r="K65" i="48" s="1"/>
  <c r="Q48" i="48"/>
  <c r="Q30" i="48"/>
  <c r="U48" i="48"/>
  <c r="U30" i="48"/>
  <c r="U65" i="48" s="1"/>
  <c r="I62" i="42"/>
  <c r="I62" i="48" s="1"/>
  <c r="I62" i="50" s="1"/>
  <c r="I62" i="51" s="1"/>
  <c r="I62" i="52" s="1"/>
  <c r="I62" i="53" s="1"/>
  <c r="I62" i="54" s="1"/>
  <c r="I62" i="56" s="1"/>
  <c r="I62" i="57" s="1"/>
  <c r="I62" i="58" s="1"/>
  <c r="I62" i="59" s="1"/>
  <c r="I62" i="60" s="1"/>
  <c r="I62" i="61" s="1"/>
  <c r="I62" i="62" s="1"/>
  <c r="I62" i="63" s="1"/>
  <c r="I62" i="64" s="1"/>
  <c r="I62" i="65" s="1"/>
  <c r="I62" i="66" s="1"/>
  <c r="I62" i="67" s="1"/>
  <c r="I62" i="68" s="1"/>
  <c r="I62" i="69" s="1"/>
  <c r="I62" i="70" s="1"/>
  <c r="I62" i="71" s="1"/>
  <c r="I62" i="72" s="1"/>
  <c r="I61" i="42"/>
  <c r="I61" i="48" s="1"/>
  <c r="I61" i="50" s="1"/>
  <c r="I61" i="51" s="1"/>
  <c r="I61" i="52" s="1"/>
  <c r="I61" i="53" s="1"/>
  <c r="I61" i="54" s="1"/>
  <c r="I61" i="56" s="1"/>
  <c r="I61" i="57" s="1"/>
  <c r="I61" i="58" s="1"/>
  <c r="I61" i="59" s="1"/>
  <c r="I61" i="60" s="1"/>
  <c r="I61" i="61" s="1"/>
  <c r="I61" i="62" s="1"/>
  <c r="I61" i="63" s="1"/>
  <c r="I61" i="64" s="1"/>
  <c r="I61" i="65" s="1"/>
  <c r="I61" i="66" s="1"/>
  <c r="I61" i="67" s="1"/>
  <c r="I61" i="68" s="1"/>
  <c r="I61" i="69" s="1"/>
  <c r="I61" i="70" s="1"/>
  <c r="I61" i="71" s="1"/>
  <c r="I61" i="72" s="1"/>
  <c r="B62" i="42"/>
  <c r="B62" i="48" s="1"/>
  <c r="B62" i="49" s="1"/>
  <c r="B62" i="50" s="1"/>
  <c r="B62" i="51" s="1"/>
  <c r="B62" i="52" s="1"/>
  <c r="B62" i="53" s="1"/>
  <c r="B62" i="54" s="1"/>
  <c r="B62" i="56" s="1"/>
  <c r="B62" i="57" s="1"/>
  <c r="B62" i="58" s="1"/>
  <c r="B62" i="59" s="1"/>
  <c r="B62" i="60" s="1"/>
  <c r="B62" i="61" s="1"/>
  <c r="B62" i="62" s="1"/>
  <c r="B62" i="63" s="1"/>
  <c r="B62" i="64" s="1"/>
  <c r="B62" i="65" s="1"/>
  <c r="B62" i="66" s="1"/>
  <c r="B62" i="67" s="1"/>
  <c r="B62" i="68" s="1"/>
  <c r="B62" i="69" s="1"/>
  <c r="B62" i="70" s="1"/>
  <c r="B62" i="71" s="1"/>
  <c r="B62" i="72" s="1"/>
  <c r="B61" i="42"/>
  <c r="B61" i="48" s="1"/>
  <c r="B61" i="49" s="1"/>
  <c r="B61" i="50" s="1"/>
  <c r="B61" i="51" s="1"/>
  <c r="B61" i="52" s="1"/>
  <c r="B61" i="53" s="1"/>
  <c r="B61" i="54" s="1"/>
  <c r="B61" i="56" s="1"/>
  <c r="B61" i="57" s="1"/>
  <c r="B61" i="58" s="1"/>
  <c r="B61" i="59" s="1"/>
  <c r="B61" i="60" s="1"/>
  <c r="B61" i="61" s="1"/>
  <c r="B61" i="62" s="1"/>
  <c r="B61" i="63" s="1"/>
  <c r="B61" i="64" s="1"/>
  <c r="B61" i="65" s="1"/>
  <c r="B61" i="66" s="1"/>
  <c r="B61" i="67" s="1"/>
  <c r="B61" i="68" s="1"/>
  <c r="B61" i="69" s="1"/>
  <c r="B61" i="70" s="1"/>
  <c r="B61" i="71" s="1"/>
  <c r="B61" i="72" s="1"/>
  <c r="B59" i="42"/>
  <c r="B59" i="48" s="1"/>
  <c r="B59" i="49" s="1"/>
  <c r="B59" i="50" s="1"/>
  <c r="B59" i="51" s="1"/>
  <c r="B59" i="52" s="1"/>
  <c r="B59" i="53" s="1"/>
  <c r="B59" i="54" s="1"/>
  <c r="B59" i="56" s="1"/>
  <c r="B59" i="57" s="1"/>
  <c r="B59" i="58" s="1"/>
  <c r="B59" i="59" s="1"/>
  <c r="B59" i="60" s="1"/>
  <c r="B59" i="61" s="1"/>
  <c r="B59" i="62" s="1"/>
  <c r="B59" i="63" s="1"/>
  <c r="B59" i="64" s="1"/>
  <c r="B59" i="65" s="1"/>
  <c r="B59" i="66" s="1"/>
  <c r="B59" i="67" s="1"/>
  <c r="B59" i="68" s="1"/>
  <c r="B59" i="69" s="1"/>
  <c r="B59" i="70" s="1"/>
  <c r="B59" i="71" s="1"/>
  <c r="B59" i="72" s="1"/>
  <c r="Q18" i="42"/>
  <c r="Q18" i="48" s="1"/>
  <c r="Q18" i="49" s="1"/>
  <c r="Q18" i="50" s="1"/>
  <c r="Q18" i="51" s="1"/>
  <c r="Q18" i="52" s="1"/>
  <c r="Q18" i="53" s="1"/>
  <c r="Q18" i="54" s="1"/>
  <c r="Q18" i="56" s="1"/>
  <c r="K46" i="68" l="1"/>
  <c r="M46" i="66"/>
  <c r="M46" i="49"/>
  <c r="J46" i="66"/>
  <c r="P46" i="62"/>
  <c r="S52" i="61"/>
  <c r="I21" i="36" s="1"/>
  <c r="L46" i="68"/>
  <c r="L46" i="72"/>
  <c r="V46" i="50"/>
  <c r="R46" i="56"/>
  <c r="V46" i="52"/>
  <c r="M46" i="56"/>
  <c r="U46" i="51"/>
  <c r="S52" i="57"/>
  <c r="I17" i="36" s="1"/>
  <c r="P46" i="63"/>
  <c r="M46" i="72"/>
  <c r="G46" i="59"/>
  <c r="T46" i="60"/>
  <c r="R46" i="62"/>
  <c r="Y44" i="48"/>
  <c r="G46" i="56"/>
  <c r="G65" i="56"/>
  <c r="C135" i="76" s="1"/>
  <c r="D134" i="75" s="1"/>
  <c r="U46" i="58"/>
  <c r="U65" i="58"/>
  <c r="C175" i="76" s="1"/>
  <c r="D174" i="75" s="1"/>
  <c r="T46" i="72"/>
  <c r="T65" i="72"/>
  <c r="C370" i="76" s="1"/>
  <c r="D369" i="75" s="1"/>
  <c r="V46" i="53"/>
  <c r="V65" i="53"/>
  <c r="C120" i="76" s="1"/>
  <c r="D119" i="75" s="1"/>
  <c r="H46" i="57"/>
  <c r="H65" i="57"/>
  <c r="C150" i="76" s="1"/>
  <c r="D149" i="75" s="1"/>
  <c r="J46" i="60"/>
  <c r="P46" i="61"/>
  <c r="P65" i="61"/>
  <c r="C212" i="76" s="1"/>
  <c r="D211" i="75" s="1"/>
  <c r="G46" i="64"/>
  <c r="G65" i="64"/>
  <c r="C247" i="76" s="1"/>
  <c r="D246" i="75" s="1"/>
  <c r="U46" i="66"/>
  <c r="U65" i="66"/>
  <c r="C287" i="76" s="1"/>
  <c r="D286" i="75" s="1"/>
  <c r="J46" i="68"/>
  <c r="J65" i="68"/>
  <c r="C306" i="76" s="1"/>
  <c r="D305" i="75" s="1"/>
  <c r="S46" i="68"/>
  <c r="S65" i="68"/>
  <c r="C313" i="76" s="1"/>
  <c r="D312" i="75" s="1"/>
  <c r="L46" i="69"/>
  <c r="L65" i="69"/>
  <c r="C322" i="76" s="1"/>
  <c r="D321" i="75" s="1"/>
  <c r="S46" i="71"/>
  <c r="S65" i="71"/>
  <c r="C355" i="76" s="1"/>
  <c r="D354" i="75" s="1"/>
  <c r="M46" i="70"/>
  <c r="M65" i="70"/>
  <c r="C337" i="76" s="1"/>
  <c r="D336" i="75" s="1"/>
  <c r="M46" i="53"/>
  <c r="M65" i="53"/>
  <c r="C113" i="76" s="1"/>
  <c r="D112" i="75" s="1"/>
  <c r="V46" i="57"/>
  <c r="V65" i="57"/>
  <c r="C162" i="76" s="1"/>
  <c r="D161" i="75" s="1"/>
  <c r="I46" i="58"/>
  <c r="I65" i="58"/>
  <c r="C165" i="76" s="1"/>
  <c r="D164" i="75" s="1"/>
  <c r="K46" i="60"/>
  <c r="K65" i="60"/>
  <c r="C195" i="76" s="1"/>
  <c r="D194" i="75" s="1"/>
  <c r="H46" i="66"/>
  <c r="H65" i="66"/>
  <c r="C276" i="76" s="1"/>
  <c r="D275" i="75" s="1"/>
  <c r="M46" i="63"/>
  <c r="M65" i="63"/>
  <c r="C239" i="76" s="1"/>
  <c r="D238" i="75" s="1"/>
  <c r="P46" i="53"/>
  <c r="U46" i="57"/>
  <c r="U65" i="57"/>
  <c r="C161" i="76" s="1"/>
  <c r="D160" i="75" s="1"/>
  <c r="P46" i="59"/>
  <c r="P65" i="59"/>
  <c r="C184" i="76" s="1"/>
  <c r="D183" i="75" s="1"/>
  <c r="G46" i="69"/>
  <c r="G65" i="69"/>
  <c r="C317" i="76" s="1"/>
  <c r="D316" i="75" s="1"/>
  <c r="P46" i="50"/>
  <c r="P65" i="50"/>
  <c r="C72" i="76" s="1"/>
  <c r="D71" i="75" s="1"/>
  <c r="K65" i="51"/>
  <c r="C83" i="76" s="1"/>
  <c r="D82" i="75" s="1"/>
  <c r="S46" i="58"/>
  <c r="S65" i="58"/>
  <c r="C173" i="76" s="1"/>
  <c r="D172" i="75" s="1"/>
  <c r="U46" i="60"/>
  <c r="U65" i="60"/>
  <c r="C203" i="76" s="1"/>
  <c r="D202" i="75" s="1"/>
  <c r="I46" i="60"/>
  <c r="I65" i="60"/>
  <c r="C193" i="76" s="1"/>
  <c r="D192" i="75" s="1"/>
  <c r="R46" i="60"/>
  <c r="R65" i="60"/>
  <c r="C200" i="76" s="1"/>
  <c r="D199" i="75" s="1"/>
  <c r="H46" i="60"/>
  <c r="H65" i="60"/>
  <c r="C192" i="76" s="1"/>
  <c r="D191" i="75" s="1"/>
  <c r="Q46" i="61"/>
  <c r="Q65" i="61"/>
  <c r="C213" i="76" s="1"/>
  <c r="D212" i="75" s="1"/>
  <c r="L46" i="61"/>
  <c r="L65" i="61"/>
  <c r="C210" i="76" s="1"/>
  <c r="D209" i="75" s="1"/>
  <c r="K46" i="62"/>
  <c r="K65" i="62"/>
  <c r="C223" i="76" s="1"/>
  <c r="D222" i="75" s="1"/>
  <c r="T46" i="62"/>
  <c r="T65" i="62"/>
  <c r="C230" i="76" s="1"/>
  <c r="D229" i="75" s="1"/>
  <c r="J46" i="62"/>
  <c r="J65" i="62"/>
  <c r="C222" i="76" s="1"/>
  <c r="D221" i="75" s="1"/>
  <c r="U46" i="63"/>
  <c r="U65" i="63"/>
  <c r="C245" i="76" s="1"/>
  <c r="D244" i="75" s="1"/>
  <c r="Q46" i="64"/>
  <c r="Q65" i="64"/>
  <c r="C255" i="76" s="1"/>
  <c r="D254" i="75" s="1"/>
  <c r="L46" i="64"/>
  <c r="L65" i="64"/>
  <c r="C252" i="76" s="1"/>
  <c r="D251" i="75" s="1"/>
  <c r="P46" i="65"/>
  <c r="L46" i="65"/>
  <c r="L65" i="65"/>
  <c r="C266" i="76" s="1"/>
  <c r="D265" i="75" s="1"/>
  <c r="S46" i="65"/>
  <c r="S65" i="65"/>
  <c r="C271" i="76" s="1"/>
  <c r="D270" i="75" s="1"/>
  <c r="K46" i="67"/>
  <c r="K65" i="67"/>
  <c r="C293" i="76" s="1"/>
  <c r="D292" i="75" s="1"/>
  <c r="T46" i="67"/>
  <c r="T65" i="67"/>
  <c r="C300" i="76" s="1"/>
  <c r="D299" i="75" s="1"/>
  <c r="J46" i="67"/>
  <c r="J65" i="67"/>
  <c r="C292" i="76" s="1"/>
  <c r="D291" i="75" s="1"/>
  <c r="G46" i="68"/>
  <c r="G65" i="68"/>
  <c r="C303" i="76" s="1"/>
  <c r="D302" i="75" s="1"/>
  <c r="Q46" i="69"/>
  <c r="Q65" i="69"/>
  <c r="C325" i="76" s="1"/>
  <c r="D324" i="75" s="1"/>
  <c r="U46" i="70"/>
  <c r="U65" i="70"/>
  <c r="C343" i="76" s="1"/>
  <c r="D342" i="75" s="1"/>
  <c r="I46" i="70"/>
  <c r="I65" i="70"/>
  <c r="C333" i="76" s="1"/>
  <c r="D332" i="75" s="1"/>
  <c r="R46" i="70"/>
  <c r="R65" i="70"/>
  <c r="C340" i="76" s="1"/>
  <c r="D339" i="75" s="1"/>
  <c r="H46" i="70"/>
  <c r="H65" i="70"/>
  <c r="C332" i="76" s="1"/>
  <c r="D331" i="75" s="1"/>
  <c r="G46" i="71"/>
  <c r="G65" i="71"/>
  <c r="C345" i="76" s="1"/>
  <c r="D344" i="75" s="1"/>
  <c r="J46" i="72"/>
  <c r="I46" i="72"/>
  <c r="I65" i="72"/>
  <c r="C361" i="76" s="1"/>
  <c r="D360" i="75" s="1"/>
  <c r="R46" i="72"/>
  <c r="R65" i="72"/>
  <c r="C368" i="76" s="1"/>
  <c r="D367" i="75" s="1"/>
  <c r="H46" i="72"/>
  <c r="H65" i="72"/>
  <c r="C360" i="76" s="1"/>
  <c r="D359" i="75" s="1"/>
  <c r="M46" i="69"/>
  <c r="M65" i="69"/>
  <c r="C323" i="76" s="1"/>
  <c r="D322" i="75" s="1"/>
  <c r="M46" i="52"/>
  <c r="M65" i="52"/>
  <c r="C99" i="76" s="1"/>
  <c r="D98" i="75" s="1"/>
  <c r="V46" i="56"/>
  <c r="V65" i="56"/>
  <c r="C148" i="76" s="1"/>
  <c r="D147" i="75" s="1"/>
  <c r="M46" i="65"/>
  <c r="M65" i="65"/>
  <c r="C267" i="76" s="1"/>
  <c r="D266" i="75" s="1"/>
  <c r="S52" i="52"/>
  <c r="I13" i="36" s="1"/>
  <c r="H65" i="54"/>
  <c r="C122" i="76" s="1"/>
  <c r="D121" i="75" s="1"/>
  <c r="I46" i="57"/>
  <c r="I65" i="57"/>
  <c r="C151" i="76" s="1"/>
  <c r="D150" i="75" s="1"/>
  <c r="I46" i="59"/>
  <c r="I65" i="59"/>
  <c r="C179" i="76" s="1"/>
  <c r="D178" i="75" s="1"/>
  <c r="G46" i="61"/>
  <c r="G65" i="61"/>
  <c r="C205" i="76" s="1"/>
  <c r="D204" i="75" s="1"/>
  <c r="G46" i="50"/>
  <c r="G65" i="50"/>
  <c r="C65" i="76" s="1"/>
  <c r="D64" i="75" s="1"/>
  <c r="P46" i="51"/>
  <c r="P65" i="51"/>
  <c r="C86" i="76" s="1"/>
  <c r="D85" i="75" s="1"/>
  <c r="P46" i="52"/>
  <c r="T46" i="56"/>
  <c r="T65" i="56"/>
  <c r="C146" i="76" s="1"/>
  <c r="D145" i="75" s="1"/>
  <c r="S46" i="57"/>
  <c r="S65" i="57"/>
  <c r="C159" i="76" s="1"/>
  <c r="D158" i="75" s="1"/>
  <c r="G46" i="58"/>
  <c r="G65" i="58"/>
  <c r="C163" i="76" s="1"/>
  <c r="D162" i="75" s="1"/>
  <c r="J46" i="59"/>
  <c r="J65" i="59"/>
  <c r="C180" i="76" s="1"/>
  <c r="D179" i="75" s="1"/>
  <c r="G46" i="65"/>
  <c r="G65" i="65"/>
  <c r="C261" i="76" s="1"/>
  <c r="D260" i="75" s="1"/>
  <c r="S46" i="66"/>
  <c r="S65" i="66"/>
  <c r="C285" i="76" s="1"/>
  <c r="D284" i="75" s="1"/>
  <c r="G46" i="66"/>
  <c r="G65" i="66"/>
  <c r="C275" i="76" s="1"/>
  <c r="D274" i="75" s="1"/>
  <c r="H46" i="68"/>
  <c r="H65" i="68"/>
  <c r="C304" i="76" s="1"/>
  <c r="D303" i="75" s="1"/>
  <c r="Q46" i="68"/>
  <c r="Q65" i="68"/>
  <c r="C311" i="76" s="1"/>
  <c r="D310" i="75" s="1"/>
  <c r="Q46" i="71"/>
  <c r="Q65" i="71"/>
  <c r="C353" i="76" s="1"/>
  <c r="D352" i="75" s="1"/>
  <c r="U46" i="72"/>
  <c r="U65" i="72"/>
  <c r="C371" i="76" s="1"/>
  <c r="D370" i="75" s="1"/>
  <c r="M46" i="68"/>
  <c r="V46" i="63"/>
  <c r="V65" i="63"/>
  <c r="C246" i="76" s="1"/>
  <c r="D245" i="75" s="1"/>
  <c r="V46" i="59"/>
  <c r="V65" i="59"/>
  <c r="C190" i="76" s="1"/>
  <c r="D189" i="75" s="1"/>
  <c r="V46" i="68"/>
  <c r="V65" i="68"/>
  <c r="C316" i="76" s="1"/>
  <c r="D315" i="75" s="1"/>
  <c r="V46" i="51"/>
  <c r="V65" i="51"/>
  <c r="C92" i="76" s="1"/>
  <c r="D91" i="75" s="1"/>
  <c r="V46" i="61"/>
  <c r="V65" i="61"/>
  <c r="C218" i="76" s="1"/>
  <c r="D217" i="75" s="1"/>
  <c r="M46" i="48"/>
  <c r="M65" i="48"/>
  <c r="C43" i="76" s="1"/>
  <c r="D42" i="75" s="1"/>
  <c r="G46" i="52"/>
  <c r="G65" i="52"/>
  <c r="C93" i="76" s="1"/>
  <c r="D92" i="75" s="1"/>
  <c r="Q46" i="62"/>
  <c r="Q65" i="62"/>
  <c r="C227" i="76" s="1"/>
  <c r="D226" i="75" s="1"/>
  <c r="U46" i="65"/>
  <c r="U65" i="65"/>
  <c r="C273" i="76" s="1"/>
  <c r="D272" i="75" s="1"/>
  <c r="Q46" i="67"/>
  <c r="Q65" i="67"/>
  <c r="C297" i="76" s="1"/>
  <c r="D296" i="75" s="1"/>
  <c r="K46" i="70"/>
  <c r="K65" i="70"/>
  <c r="C335" i="76" s="1"/>
  <c r="D334" i="75" s="1"/>
  <c r="L46" i="56"/>
  <c r="L65" i="56"/>
  <c r="C140" i="76" s="1"/>
  <c r="D139" i="75" s="1"/>
  <c r="K46" i="51"/>
  <c r="J65" i="52"/>
  <c r="C96" i="76" s="1"/>
  <c r="D95" i="75" s="1"/>
  <c r="P46" i="48"/>
  <c r="P65" i="48"/>
  <c r="C44" i="76" s="1"/>
  <c r="D43" i="75" s="1"/>
  <c r="L65" i="51"/>
  <c r="C84" i="76" s="1"/>
  <c r="D83" i="75" s="1"/>
  <c r="J46" i="52"/>
  <c r="G46" i="57"/>
  <c r="G65" i="57"/>
  <c r="C149" i="76" s="1"/>
  <c r="D148" i="75" s="1"/>
  <c r="P46" i="57"/>
  <c r="P65" i="57"/>
  <c r="C156" i="76" s="1"/>
  <c r="D155" i="75" s="1"/>
  <c r="Q46" i="58"/>
  <c r="Q65" i="58"/>
  <c r="C171" i="76" s="1"/>
  <c r="D170" i="75" s="1"/>
  <c r="L46" i="58"/>
  <c r="L65" i="58"/>
  <c r="C168" i="76" s="1"/>
  <c r="D167" i="75" s="1"/>
  <c r="T46" i="59"/>
  <c r="T65" i="59"/>
  <c r="C188" i="76" s="1"/>
  <c r="D187" i="75" s="1"/>
  <c r="S46" i="60"/>
  <c r="S65" i="60"/>
  <c r="C201" i="76" s="1"/>
  <c r="D200" i="75" s="1"/>
  <c r="K46" i="61"/>
  <c r="K65" i="61"/>
  <c r="C209" i="76" s="1"/>
  <c r="D208" i="75" s="1"/>
  <c r="T46" i="61"/>
  <c r="T65" i="61"/>
  <c r="C216" i="76" s="1"/>
  <c r="D215" i="75" s="1"/>
  <c r="J46" i="61"/>
  <c r="J65" i="61"/>
  <c r="C208" i="76" s="1"/>
  <c r="D207" i="75" s="1"/>
  <c r="U46" i="62"/>
  <c r="U65" i="62"/>
  <c r="C231" i="76" s="1"/>
  <c r="D230" i="75" s="1"/>
  <c r="I46" i="62"/>
  <c r="I65" i="62"/>
  <c r="C221" i="76" s="1"/>
  <c r="D220" i="75" s="1"/>
  <c r="H46" i="62"/>
  <c r="H65" i="62"/>
  <c r="C220" i="76" s="1"/>
  <c r="D219" i="75" s="1"/>
  <c r="S46" i="63"/>
  <c r="S65" i="63"/>
  <c r="C243" i="76" s="1"/>
  <c r="D242" i="75" s="1"/>
  <c r="G46" i="63"/>
  <c r="G65" i="63"/>
  <c r="C233" i="76" s="1"/>
  <c r="D232" i="75" s="1"/>
  <c r="K46" i="64"/>
  <c r="K65" i="64"/>
  <c r="C251" i="76" s="1"/>
  <c r="D250" i="75" s="1"/>
  <c r="T46" i="64"/>
  <c r="T65" i="64"/>
  <c r="C258" i="76" s="1"/>
  <c r="D257" i="75" s="1"/>
  <c r="J46" i="64"/>
  <c r="J65" i="64"/>
  <c r="C250" i="76" s="1"/>
  <c r="D249" i="75" s="1"/>
  <c r="T46" i="65"/>
  <c r="T65" i="65"/>
  <c r="C272" i="76" s="1"/>
  <c r="D271" i="75" s="1"/>
  <c r="J46" i="65"/>
  <c r="J65" i="65"/>
  <c r="C264" i="76" s="1"/>
  <c r="D263" i="75" s="1"/>
  <c r="Q46" i="65"/>
  <c r="Q65" i="65"/>
  <c r="C269" i="76" s="1"/>
  <c r="D268" i="75" s="1"/>
  <c r="U46" i="67"/>
  <c r="U65" i="67"/>
  <c r="C301" i="76" s="1"/>
  <c r="D300" i="75" s="1"/>
  <c r="I46" i="67"/>
  <c r="I65" i="67"/>
  <c r="C291" i="76" s="1"/>
  <c r="D290" i="75" s="1"/>
  <c r="R46" i="67"/>
  <c r="R65" i="67"/>
  <c r="C298" i="76" s="1"/>
  <c r="D297" i="75" s="1"/>
  <c r="H46" i="67"/>
  <c r="H65" i="67"/>
  <c r="C290" i="76" s="1"/>
  <c r="D289" i="75" s="1"/>
  <c r="K46" i="69"/>
  <c r="K65" i="69"/>
  <c r="C321" i="76" s="1"/>
  <c r="D320" i="75" s="1"/>
  <c r="S46" i="70"/>
  <c r="S65" i="70"/>
  <c r="C341" i="76" s="1"/>
  <c r="D340" i="75" s="1"/>
  <c r="J46" i="71"/>
  <c r="J65" i="71"/>
  <c r="C348" i="76" s="1"/>
  <c r="D347" i="75" s="1"/>
  <c r="V46" i="62"/>
  <c r="V65" i="62"/>
  <c r="C232" i="76" s="1"/>
  <c r="D231" i="75" s="1"/>
  <c r="M46" i="71"/>
  <c r="M65" i="71"/>
  <c r="C351" i="76" s="1"/>
  <c r="D350" i="75" s="1"/>
  <c r="K65" i="49"/>
  <c r="C55" i="76" s="1"/>
  <c r="D54" i="75" s="1"/>
  <c r="P46" i="69"/>
  <c r="P65" i="69"/>
  <c r="C324" i="76" s="1"/>
  <c r="D323" i="75" s="1"/>
  <c r="V46" i="70"/>
  <c r="V65" i="70"/>
  <c r="C344" i="76" s="1"/>
  <c r="D343" i="75" s="1"/>
  <c r="S52" i="65"/>
  <c r="I25" i="36" s="1"/>
  <c r="G46" i="48"/>
  <c r="G46" i="49"/>
  <c r="G65" i="49"/>
  <c r="C51" i="76" s="1"/>
  <c r="D50" i="75" s="1"/>
  <c r="G46" i="54"/>
  <c r="P46" i="56"/>
  <c r="Q46" i="57"/>
  <c r="Q65" i="57"/>
  <c r="C157" i="76" s="1"/>
  <c r="D156" i="75" s="1"/>
  <c r="L46" i="57"/>
  <c r="L65" i="57"/>
  <c r="C154" i="76" s="1"/>
  <c r="D153" i="75" s="1"/>
  <c r="P46" i="58"/>
  <c r="H46" i="59"/>
  <c r="H65" i="59"/>
  <c r="C178" i="76" s="1"/>
  <c r="D177" i="75" s="1"/>
  <c r="Q46" i="59"/>
  <c r="Q65" i="59"/>
  <c r="C185" i="76" s="1"/>
  <c r="D184" i="75" s="1"/>
  <c r="G46" i="60"/>
  <c r="G65" i="60"/>
  <c r="C191" i="76" s="1"/>
  <c r="D190" i="75" s="1"/>
  <c r="P46" i="60"/>
  <c r="P65" i="60"/>
  <c r="C198" i="76" s="1"/>
  <c r="D197" i="75" s="1"/>
  <c r="L46" i="63"/>
  <c r="L65" i="63"/>
  <c r="C238" i="76" s="1"/>
  <c r="D237" i="75" s="1"/>
  <c r="P46" i="64"/>
  <c r="U46" i="68"/>
  <c r="J46" i="69"/>
  <c r="R46" i="69"/>
  <c r="R65" i="69"/>
  <c r="C326" i="76" s="1"/>
  <c r="D325" i="75" s="1"/>
  <c r="H46" i="69"/>
  <c r="H65" i="69"/>
  <c r="C318" i="76" s="1"/>
  <c r="D317" i="75" s="1"/>
  <c r="G46" i="70"/>
  <c r="G65" i="70"/>
  <c r="C331" i="76" s="1"/>
  <c r="D330" i="75" s="1"/>
  <c r="P46" i="70"/>
  <c r="P65" i="70"/>
  <c r="C338" i="76" s="1"/>
  <c r="D337" i="75" s="1"/>
  <c r="P46" i="71"/>
  <c r="K46" i="71"/>
  <c r="K65" i="71"/>
  <c r="C349" i="76" s="1"/>
  <c r="D348" i="75" s="1"/>
  <c r="S46" i="72"/>
  <c r="S65" i="72"/>
  <c r="C369" i="76" s="1"/>
  <c r="D368" i="75" s="1"/>
  <c r="G46" i="72"/>
  <c r="G65" i="72"/>
  <c r="C359" i="76" s="1"/>
  <c r="D358" i="75" s="1"/>
  <c r="P46" i="72"/>
  <c r="P65" i="72"/>
  <c r="C366" i="76" s="1"/>
  <c r="D365" i="75" s="1"/>
  <c r="S52" i="72"/>
  <c r="I32" i="36" s="1"/>
  <c r="M46" i="59"/>
  <c r="S52" i="60"/>
  <c r="I20" i="36" s="1"/>
  <c r="M46" i="57"/>
  <c r="M46" i="62"/>
  <c r="M65" i="62"/>
  <c r="C225" i="76" s="1"/>
  <c r="D224" i="75" s="1"/>
  <c r="M46" i="54"/>
  <c r="M65" i="54"/>
  <c r="C127" i="76" s="1"/>
  <c r="D126" i="75" s="1"/>
  <c r="V46" i="66"/>
  <c r="V65" i="66"/>
  <c r="C288" i="76" s="1"/>
  <c r="D287" i="75" s="1"/>
  <c r="V46" i="72"/>
  <c r="M46" i="58"/>
  <c r="M65" i="58"/>
  <c r="C169" i="76" s="1"/>
  <c r="D168" i="75" s="1"/>
  <c r="M46" i="67"/>
  <c r="M65" i="67"/>
  <c r="C295" i="76" s="1"/>
  <c r="D294" i="75" s="1"/>
  <c r="M46" i="50"/>
  <c r="M65" i="50"/>
  <c r="C71" i="76" s="1"/>
  <c r="D70" i="75" s="1"/>
  <c r="M46" i="60"/>
  <c r="M65" i="60"/>
  <c r="C197" i="76" s="1"/>
  <c r="D196" i="75" s="1"/>
  <c r="V46" i="49"/>
  <c r="V65" i="49"/>
  <c r="C64" i="76" s="1"/>
  <c r="D63" i="75" s="1"/>
  <c r="S52" i="54"/>
  <c r="I15" i="36" s="1"/>
  <c r="S46" i="56"/>
  <c r="S65" i="56"/>
  <c r="C145" i="76" s="1"/>
  <c r="D144" i="75" s="1"/>
  <c r="R46" i="58"/>
  <c r="R65" i="58"/>
  <c r="C172" i="76" s="1"/>
  <c r="D171" i="75" s="1"/>
  <c r="S46" i="61"/>
  <c r="S65" i="61"/>
  <c r="C215" i="76" s="1"/>
  <c r="D214" i="75" s="1"/>
  <c r="I46" i="65"/>
  <c r="I65" i="65"/>
  <c r="C263" i="76" s="1"/>
  <c r="D262" i="75" s="1"/>
  <c r="R46" i="66"/>
  <c r="R65" i="66"/>
  <c r="C284" i="76" s="1"/>
  <c r="D283" i="75" s="1"/>
  <c r="L46" i="67"/>
  <c r="L65" i="67"/>
  <c r="C294" i="76" s="1"/>
  <c r="D293" i="75" s="1"/>
  <c r="S46" i="69"/>
  <c r="S65" i="69"/>
  <c r="C327" i="76" s="1"/>
  <c r="D326" i="75" s="1"/>
  <c r="J46" i="70"/>
  <c r="J65" i="70"/>
  <c r="C334" i="76" s="1"/>
  <c r="D333" i="75" s="1"/>
  <c r="V46" i="48"/>
  <c r="V65" i="48"/>
  <c r="C50" i="76" s="1"/>
  <c r="D49" i="75" s="1"/>
  <c r="P46" i="49"/>
  <c r="P65" i="49"/>
  <c r="C58" i="76" s="1"/>
  <c r="D57" i="75" s="1"/>
  <c r="R46" i="57"/>
  <c r="R65" i="57"/>
  <c r="C158" i="76" s="1"/>
  <c r="D157" i="75" s="1"/>
  <c r="U46" i="59"/>
  <c r="U65" i="59"/>
  <c r="C189" i="76" s="1"/>
  <c r="D188" i="75" s="1"/>
  <c r="I46" i="63"/>
  <c r="I65" i="63"/>
  <c r="C235" i="76" s="1"/>
  <c r="D234" i="75" s="1"/>
  <c r="T46" i="70"/>
  <c r="Q46" i="48"/>
  <c r="Q65" i="48"/>
  <c r="C45" i="76" s="1"/>
  <c r="D44" i="75" s="1"/>
  <c r="P46" i="54"/>
  <c r="U46" i="56"/>
  <c r="U65" i="56"/>
  <c r="C147" i="76" s="1"/>
  <c r="D146" i="75" s="1"/>
  <c r="K46" i="58"/>
  <c r="K65" i="58"/>
  <c r="C167" i="76" s="1"/>
  <c r="D166" i="75" s="1"/>
  <c r="T46" i="58"/>
  <c r="T65" i="58"/>
  <c r="C174" i="76" s="1"/>
  <c r="D173" i="75" s="1"/>
  <c r="R46" i="59"/>
  <c r="R65" i="59"/>
  <c r="C186" i="76" s="1"/>
  <c r="D185" i="75" s="1"/>
  <c r="Q46" i="60"/>
  <c r="Q65" i="60"/>
  <c r="C199" i="76" s="1"/>
  <c r="D198" i="75" s="1"/>
  <c r="L46" i="60"/>
  <c r="L65" i="60"/>
  <c r="C196" i="76" s="1"/>
  <c r="D195" i="75" s="1"/>
  <c r="U46" i="61"/>
  <c r="U65" i="61"/>
  <c r="C217" i="76" s="1"/>
  <c r="D216" i="75" s="1"/>
  <c r="I46" i="61"/>
  <c r="I65" i="61"/>
  <c r="C207" i="76" s="1"/>
  <c r="D206" i="75" s="1"/>
  <c r="R46" i="61"/>
  <c r="R65" i="61"/>
  <c r="C214" i="76" s="1"/>
  <c r="D213" i="75" s="1"/>
  <c r="H46" i="61"/>
  <c r="H65" i="61"/>
  <c r="C206" i="76" s="1"/>
  <c r="D205" i="75" s="1"/>
  <c r="S46" i="62"/>
  <c r="S65" i="62"/>
  <c r="C229" i="76" s="1"/>
  <c r="D228" i="75" s="1"/>
  <c r="U46" i="64"/>
  <c r="U65" i="64"/>
  <c r="C259" i="76" s="1"/>
  <c r="D258" i="75" s="1"/>
  <c r="I46" i="64"/>
  <c r="I65" i="64"/>
  <c r="C249" i="76" s="1"/>
  <c r="D248" i="75" s="1"/>
  <c r="R46" i="64"/>
  <c r="R65" i="64"/>
  <c r="C256" i="76" s="1"/>
  <c r="D255" i="75" s="1"/>
  <c r="H46" i="64"/>
  <c r="H65" i="64"/>
  <c r="C248" i="76" s="1"/>
  <c r="D247" i="75" s="1"/>
  <c r="R46" i="65"/>
  <c r="R65" i="65"/>
  <c r="C270" i="76" s="1"/>
  <c r="D269" i="75" s="1"/>
  <c r="H46" i="65"/>
  <c r="H65" i="65"/>
  <c r="C262" i="76" s="1"/>
  <c r="D261" i="75" s="1"/>
  <c r="K46" i="65"/>
  <c r="K65" i="65"/>
  <c r="C265" i="76" s="1"/>
  <c r="D264" i="75" s="1"/>
  <c r="P46" i="66"/>
  <c r="K46" i="66"/>
  <c r="K65" i="66"/>
  <c r="C279" i="76" s="1"/>
  <c r="D278" i="75" s="1"/>
  <c r="T46" i="66"/>
  <c r="T65" i="66"/>
  <c r="C286" i="76" s="1"/>
  <c r="D285" i="75" s="1"/>
  <c r="S46" i="67"/>
  <c r="S65" i="67"/>
  <c r="C299" i="76" s="1"/>
  <c r="D298" i="75" s="1"/>
  <c r="P46" i="68"/>
  <c r="P65" i="68"/>
  <c r="C310" i="76" s="1"/>
  <c r="D309" i="75" s="1"/>
  <c r="U46" i="69"/>
  <c r="U65" i="69"/>
  <c r="C329" i="76" s="1"/>
  <c r="D328" i="75" s="1"/>
  <c r="I46" i="69"/>
  <c r="I65" i="69"/>
  <c r="C319" i="76" s="1"/>
  <c r="D318" i="75" s="1"/>
  <c r="Q46" i="70"/>
  <c r="Q65" i="70"/>
  <c r="C339" i="76" s="1"/>
  <c r="D338" i="75" s="1"/>
  <c r="L46" i="70"/>
  <c r="L65" i="70"/>
  <c r="C336" i="76" s="1"/>
  <c r="D335" i="75" s="1"/>
  <c r="L46" i="71"/>
  <c r="R46" i="71"/>
  <c r="R65" i="71"/>
  <c r="C354" i="76" s="1"/>
  <c r="D353" i="75" s="1"/>
  <c r="H46" i="71"/>
  <c r="H65" i="71"/>
  <c r="C346" i="76" s="1"/>
  <c r="D345" i="75" s="1"/>
  <c r="M46" i="61"/>
  <c r="M65" i="61"/>
  <c r="C211" i="76" s="1"/>
  <c r="D210" i="75" s="1"/>
  <c r="V46" i="64"/>
  <c r="V65" i="64"/>
  <c r="C260" i="76" s="1"/>
  <c r="D259" i="75" s="1"/>
  <c r="S52" i="51"/>
  <c r="I12" i="36" s="1"/>
  <c r="S52" i="63"/>
  <c r="I23" i="36" s="1"/>
  <c r="L46" i="62"/>
  <c r="L65" i="62"/>
  <c r="C224" i="76" s="1"/>
  <c r="D223" i="75" s="1"/>
  <c r="S46" i="64"/>
  <c r="S65" i="64"/>
  <c r="C257" i="76" s="1"/>
  <c r="D256" i="75" s="1"/>
  <c r="I46" i="66"/>
  <c r="I65" i="66"/>
  <c r="C277" i="76" s="1"/>
  <c r="D276" i="75" s="1"/>
  <c r="G46" i="51"/>
  <c r="G65" i="51"/>
  <c r="C79" i="76" s="1"/>
  <c r="D78" i="75" s="1"/>
  <c r="I65" i="53"/>
  <c r="C109" i="76" s="1"/>
  <c r="D108" i="75" s="1"/>
  <c r="H46" i="54"/>
  <c r="K46" i="57"/>
  <c r="K65" i="57"/>
  <c r="C153" i="76" s="1"/>
  <c r="D152" i="75" s="1"/>
  <c r="T46" i="57"/>
  <c r="T65" i="57"/>
  <c r="C160" i="76" s="1"/>
  <c r="D159" i="75" s="1"/>
  <c r="J46" i="57"/>
  <c r="J65" i="57"/>
  <c r="C152" i="76" s="1"/>
  <c r="D151" i="75" s="1"/>
  <c r="H46" i="58"/>
  <c r="S46" i="59"/>
  <c r="K46" i="59"/>
  <c r="K65" i="59"/>
  <c r="C181" i="76" s="1"/>
  <c r="D180" i="75" s="1"/>
  <c r="G46" i="62"/>
  <c r="G65" i="62"/>
  <c r="C219" i="76" s="1"/>
  <c r="D218" i="75" s="1"/>
  <c r="R46" i="63"/>
  <c r="K46" i="63"/>
  <c r="K65" i="63"/>
  <c r="C237" i="76" s="1"/>
  <c r="D236" i="75" s="1"/>
  <c r="T46" i="63"/>
  <c r="T65" i="63"/>
  <c r="C244" i="76" s="1"/>
  <c r="D243" i="75" s="1"/>
  <c r="J46" i="63"/>
  <c r="J65" i="63"/>
  <c r="C236" i="76" s="1"/>
  <c r="D235" i="75" s="1"/>
  <c r="L46" i="66"/>
  <c r="G46" i="67"/>
  <c r="G65" i="67"/>
  <c r="C289" i="76" s="1"/>
  <c r="D288" i="75" s="1"/>
  <c r="P46" i="67"/>
  <c r="P65" i="67"/>
  <c r="C296" i="76" s="1"/>
  <c r="D295" i="75" s="1"/>
  <c r="T46" i="68"/>
  <c r="I46" i="68"/>
  <c r="I65" i="68"/>
  <c r="C305" i="76" s="1"/>
  <c r="D304" i="75" s="1"/>
  <c r="U46" i="71"/>
  <c r="U65" i="71"/>
  <c r="C357" i="76" s="1"/>
  <c r="D356" i="75" s="1"/>
  <c r="I46" i="71"/>
  <c r="I65" i="71"/>
  <c r="C347" i="76" s="1"/>
  <c r="D346" i="75" s="1"/>
  <c r="Q46" i="72"/>
  <c r="Q65" i="72"/>
  <c r="C367" i="76" s="1"/>
  <c r="D366" i="75" s="1"/>
  <c r="M46" i="51"/>
  <c r="V46" i="71"/>
  <c r="V65" i="71"/>
  <c r="C358" i="76" s="1"/>
  <c r="D357" i="75" s="1"/>
  <c r="V46" i="54"/>
  <c r="V65" i="54"/>
  <c r="C134" i="76" s="1"/>
  <c r="D133" i="75" s="1"/>
  <c r="M46" i="64"/>
  <c r="M65" i="64"/>
  <c r="C253" i="76" s="1"/>
  <c r="D252" i="75" s="1"/>
  <c r="V46" i="58"/>
  <c r="V65" i="58"/>
  <c r="C176" i="76" s="1"/>
  <c r="D175" i="75" s="1"/>
  <c r="K46" i="56"/>
  <c r="C139" i="76"/>
  <c r="D138" i="75" s="1"/>
  <c r="J46" i="56"/>
  <c r="C138" i="76"/>
  <c r="D137" i="75" s="1"/>
  <c r="I46" i="56"/>
  <c r="C137" i="76"/>
  <c r="D136" i="75" s="1"/>
  <c r="H46" i="56"/>
  <c r="C136" i="76"/>
  <c r="D135" i="75" s="1"/>
  <c r="T46" i="54"/>
  <c r="C132" i="76"/>
  <c r="D131" i="75" s="1"/>
  <c r="R46" i="54"/>
  <c r="C130" i="76"/>
  <c r="D129" i="75" s="1"/>
  <c r="U46" i="54"/>
  <c r="C133" i="76"/>
  <c r="D132" i="75" s="1"/>
  <c r="S46" i="54"/>
  <c r="C131" i="76"/>
  <c r="D130" i="75" s="1"/>
  <c r="Q46" i="54"/>
  <c r="C129" i="76"/>
  <c r="D128" i="75" s="1"/>
  <c r="J46" i="54"/>
  <c r="C124" i="76"/>
  <c r="D123" i="75" s="1"/>
  <c r="I46" i="54"/>
  <c r="C123" i="76"/>
  <c r="D122" i="75" s="1"/>
  <c r="L46" i="54"/>
  <c r="C126" i="76"/>
  <c r="D125" i="75" s="1"/>
  <c r="K46" i="54"/>
  <c r="C125" i="76"/>
  <c r="D124" i="75" s="1"/>
  <c r="I46" i="53"/>
  <c r="G46" i="53"/>
  <c r="C107" i="76"/>
  <c r="D106" i="75" s="1"/>
  <c r="U46" i="53"/>
  <c r="C119" i="76"/>
  <c r="D118" i="75" s="1"/>
  <c r="S46" i="53"/>
  <c r="C117" i="76"/>
  <c r="D116" i="75" s="1"/>
  <c r="T46" i="53"/>
  <c r="C118" i="76"/>
  <c r="D117" i="75" s="1"/>
  <c r="Q46" i="53"/>
  <c r="C115" i="76"/>
  <c r="D114" i="75" s="1"/>
  <c r="R46" i="53"/>
  <c r="C116" i="76"/>
  <c r="D115" i="75" s="1"/>
  <c r="J46" i="53"/>
  <c r="C110" i="76"/>
  <c r="D109" i="75" s="1"/>
  <c r="L46" i="53"/>
  <c r="C112" i="76"/>
  <c r="D111" i="75" s="1"/>
  <c r="H46" i="53"/>
  <c r="C108" i="76"/>
  <c r="D107" i="75" s="1"/>
  <c r="K46" i="53"/>
  <c r="C111" i="76"/>
  <c r="D110" i="75" s="1"/>
  <c r="K46" i="52"/>
  <c r="C97" i="76"/>
  <c r="D96" i="75" s="1"/>
  <c r="Q46" i="52"/>
  <c r="C101" i="76"/>
  <c r="D100" i="75" s="1"/>
  <c r="T46" i="52"/>
  <c r="C104" i="76"/>
  <c r="D103" i="75" s="1"/>
  <c r="U46" i="52"/>
  <c r="C105" i="76"/>
  <c r="D104" i="75" s="1"/>
  <c r="R46" i="52"/>
  <c r="C102" i="76"/>
  <c r="D101" i="75" s="1"/>
  <c r="S46" i="52"/>
  <c r="C103" i="76"/>
  <c r="D102" i="75" s="1"/>
  <c r="L46" i="52"/>
  <c r="C98" i="76"/>
  <c r="D97" i="75" s="1"/>
  <c r="I46" i="52"/>
  <c r="C95" i="76"/>
  <c r="D94" i="75" s="1"/>
  <c r="H46" i="52"/>
  <c r="C94" i="76"/>
  <c r="D93" i="75" s="1"/>
  <c r="R46" i="51"/>
  <c r="C88" i="76"/>
  <c r="D87" i="75" s="1"/>
  <c r="Q46" i="51"/>
  <c r="C87" i="76"/>
  <c r="D86" i="75" s="1"/>
  <c r="T46" i="51"/>
  <c r="C90" i="76"/>
  <c r="D89" i="75" s="1"/>
  <c r="S46" i="51"/>
  <c r="C89" i="76"/>
  <c r="D88" i="75" s="1"/>
  <c r="H46" i="51"/>
  <c r="C80" i="76"/>
  <c r="D79" i="75" s="1"/>
  <c r="I46" i="51"/>
  <c r="C81" i="76"/>
  <c r="D80" i="75" s="1"/>
  <c r="J46" i="51"/>
  <c r="C82" i="76"/>
  <c r="D81" i="75" s="1"/>
  <c r="U46" i="50"/>
  <c r="C77" i="76"/>
  <c r="D76" i="75" s="1"/>
  <c r="S46" i="50"/>
  <c r="C75" i="76"/>
  <c r="D74" i="75" s="1"/>
  <c r="Q46" i="50"/>
  <c r="C73" i="76"/>
  <c r="D72" i="75" s="1"/>
  <c r="R46" i="50"/>
  <c r="C74" i="76"/>
  <c r="D73" i="75" s="1"/>
  <c r="T46" i="50"/>
  <c r="C76" i="76"/>
  <c r="D75" i="75" s="1"/>
  <c r="I46" i="50"/>
  <c r="C67" i="76"/>
  <c r="D66" i="75" s="1"/>
  <c r="H46" i="50"/>
  <c r="C66" i="76"/>
  <c r="D65" i="75" s="1"/>
  <c r="L46" i="50"/>
  <c r="C70" i="76"/>
  <c r="D69" i="75" s="1"/>
  <c r="J46" i="50"/>
  <c r="C68" i="76"/>
  <c r="D67" i="75" s="1"/>
  <c r="K46" i="50"/>
  <c r="C69" i="76"/>
  <c r="D68" i="75" s="1"/>
  <c r="T46" i="49"/>
  <c r="C62" i="76"/>
  <c r="D61" i="75" s="1"/>
  <c r="U46" i="49"/>
  <c r="C63" i="76"/>
  <c r="D62" i="75" s="1"/>
  <c r="R46" i="49"/>
  <c r="C60" i="76"/>
  <c r="D59" i="75" s="1"/>
  <c r="Q46" i="49"/>
  <c r="C59" i="76"/>
  <c r="D58" i="75" s="1"/>
  <c r="S46" i="49"/>
  <c r="C61" i="76"/>
  <c r="D60" i="75" s="1"/>
  <c r="J46" i="49"/>
  <c r="C54" i="76"/>
  <c r="D53" i="75" s="1"/>
  <c r="I46" i="49"/>
  <c r="C53" i="76"/>
  <c r="D52" i="75" s="1"/>
  <c r="H46" i="49"/>
  <c r="C52" i="76"/>
  <c r="D51" i="75" s="1"/>
  <c r="L46" i="49"/>
  <c r="C56" i="76"/>
  <c r="D55" i="75" s="1"/>
  <c r="T46" i="48"/>
  <c r="C48" i="76"/>
  <c r="D47" i="75" s="1"/>
  <c r="R46" i="48"/>
  <c r="C46" i="76"/>
  <c r="D45" i="75" s="1"/>
  <c r="S46" i="48"/>
  <c r="C47" i="76"/>
  <c r="D46" i="75" s="1"/>
  <c r="U46" i="48"/>
  <c r="C49" i="76"/>
  <c r="D48" i="75" s="1"/>
  <c r="K46" i="48"/>
  <c r="C41" i="76"/>
  <c r="D40" i="75" s="1"/>
  <c r="H46" i="48"/>
  <c r="C38" i="76"/>
  <c r="D37" i="75" s="1"/>
  <c r="J46" i="48"/>
  <c r="C40" i="76"/>
  <c r="D39" i="75" s="1"/>
  <c r="L46" i="48"/>
  <c r="C42" i="76"/>
  <c r="D41" i="75" s="1"/>
  <c r="I46" i="48"/>
  <c r="C39" i="76"/>
  <c r="D38" i="75" s="1"/>
  <c r="Y44" i="54"/>
  <c r="S52" i="64"/>
  <c r="I24" i="36" s="1"/>
  <c r="Y44" i="60"/>
  <c r="S52" i="56"/>
  <c r="I16" i="36" s="1"/>
  <c r="Y44" i="70"/>
  <c r="S52" i="67"/>
  <c r="I27" i="36" s="1"/>
  <c r="S52" i="59"/>
  <c r="I19" i="36" s="1"/>
  <c r="S52" i="50"/>
  <c r="I11" i="36" s="1"/>
  <c r="Q18" i="57"/>
  <c r="Q18" i="58" s="1"/>
  <c r="Q18" i="59" s="1"/>
  <c r="W48" i="53"/>
  <c r="N48" i="54"/>
  <c r="N48" i="50"/>
  <c r="Y44" i="62"/>
  <c r="S52" i="53"/>
  <c r="I14" i="36" s="1"/>
  <c r="S52" i="62"/>
  <c r="I22" i="36" s="1"/>
  <c r="N48" i="52"/>
  <c r="W48" i="65"/>
  <c r="S52" i="71"/>
  <c r="I31" i="36" s="1"/>
  <c r="N48" i="48"/>
  <c r="Y44" i="57"/>
  <c r="W48" i="59"/>
  <c r="Y44" i="65"/>
  <c r="S52" i="48"/>
  <c r="I9" i="36" s="1"/>
  <c r="Y24" i="72"/>
  <c r="Y30" i="72" s="1"/>
  <c r="N30" i="72"/>
  <c r="W48" i="72"/>
  <c r="Y24" i="71"/>
  <c r="Y30" i="71" s="1"/>
  <c r="N30" i="71"/>
  <c r="N48" i="71"/>
  <c r="Y24" i="70"/>
  <c r="Y30" i="70" s="1"/>
  <c r="N30" i="70"/>
  <c r="N48" i="70"/>
  <c r="W48" i="70"/>
  <c r="Y24" i="69"/>
  <c r="Y30" i="69" s="1"/>
  <c r="N30" i="69"/>
  <c r="N48" i="69"/>
  <c r="Y24" i="68"/>
  <c r="Y30" i="68" s="1"/>
  <c r="N30" i="68"/>
  <c r="N48" i="68"/>
  <c r="Y24" i="67"/>
  <c r="Y30" i="67" s="1"/>
  <c r="N30" i="67"/>
  <c r="W48" i="67"/>
  <c r="Y44" i="67"/>
  <c r="N48" i="67"/>
  <c r="Y24" i="66"/>
  <c r="Y30" i="66" s="1"/>
  <c r="N30" i="66"/>
  <c r="N48" i="66"/>
  <c r="Y24" i="65"/>
  <c r="Y30" i="65" s="1"/>
  <c r="N30" i="65"/>
  <c r="N48" i="65"/>
  <c r="Y24" i="64"/>
  <c r="Y30" i="64" s="1"/>
  <c r="N30" i="64"/>
  <c r="Y44" i="64"/>
  <c r="N48" i="64"/>
  <c r="W48" i="64"/>
  <c r="Y24" i="63"/>
  <c r="Y30" i="63" s="1"/>
  <c r="N30" i="63"/>
  <c r="N48" i="63"/>
  <c r="Y24" i="62"/>
  <c r="Y30" i="62" s="1"/>
  <c r="N30" i="62"/>
  <c r="N48" i="62"/>
  <c r="W48" i="62"/>
  <c r="Y24" i="61"/>
  <c r="Y30" i="61" s="1"/>
  <c r="N30" i="61"/>
  <c r="Y44" i="61"/>
  <c r="N48" i="61"/>
  <c r="W48" i="61"/>
  <c r="N46" i="60"/>
  <c r="Y24" i="60"/>
  <c r="Y30" i="60" s="1"/>
  <c r="N30" i="60"/>
  <c r="N48" i="60"/>
  <c r="W48" i="60"/>
  <c r="Y24" i="59"/>
  <c r="Y30" i="59" s="1"/>
  <c r="N30" i="59"/>
  <c r="Y24" i="58"/>
  <c r="Y30" i="58" s="1"/>
  <c r="N30" i="58"/>
  <c r="Y44" i="58"/>
  <c r="N48" i="58"/>
  <c r="W48" i="58"/>
  <c r="Y24" i="57"/>
  <c r="Y30" i="57" s="1"/>
  <c r="N30" i="57"/>
  <c r="N48" i="57"/>
  <c r="W48" i="57"/>
  <c r="Y24" i="56"/>
  <c r="Y30" i="56" s="1"/>
  <c r="N30" i="56"/>
  <c r="N48" i="56"/>
  <c r="Y24" i="54"/>
  <c r="Y30" i="54" s="1"/>
  <c r="N30" i="54"/>
  <c r="W48" i="54"/>
  <c r="Y24" i="53"/>
  <c r="Y30" i="53" s="1"/>
  <c r="N30" i="53"/>
  <c r="Y44" i="53"/>
  <c r="N48" i="53"/>
  <c r="Y44" i="52"/>
  <c r="Y24" i="52"/>
  <c r="Y30" i="52" s="1"/>
  <c r="N30" i="52"/>
  <c r="W48" i="52"/>
  <c r="Y24" i="51"/>
  <c r="Y30" i="51" s="1"/>
  <c r="N30" i="51"/>
  <c r="Y44" i="51"/>
  <c r="W48" i="51"/>
  <c r="N48" i="51"/>
  <c r="Y44" i="50"/>
  <c r="Y24" i="50"/>
  <c r="Y30" i="50" s="1"/>
  <c r="N30" i="50"/>
  <c r="W48" i="50"/>
  <c r="Y44" i="49"/>
  <c r="Y24" i="49"/>
  <c r="Y30" i="49" s="1"/>
  <c r="N30" i="49"/>
  <c r="N48" i="49"/>
  <c r="W48" i="49"/>
  <c r="Y24" i="48"/>
  <c r="Y30" i="48" s="1"/>
  <c r="N30" i="48"/>
  <c r="W48" i="48"/>
  <c r="G18" i="42"/>
  <c r="G18" i="48" s="1"/>
  <c r="W46" i="62" l="1"/>
  <c r="W46" i="58"/>
  <c r="W46" i="48"/>
  <c r="N46" i="63"/>
  <c r="W46" i="67"/>
  <c r="W46" i="65"/>
  <c r="W46" i="61"/>
  <c r="N46" i="66"/>
  <c r="W46" i="60"/>
  <c r="N46" i="68"/>
  <c r="W46" i="70"/>
  <c r="N46" i="58"/>
  <c r="N46" i="57"/>
  <c r="W46" i="64"/>
  <c r="N46" i="65"/>
  <c r="N46" i="64"/>
  <c r="N46" i="62"/>
  <c r="Y46" i="62" s="1"/>
  <c r="N46" i="69"/>
  <c r="N46" i="70"/>
  <c r="Y46" i="70" s="1"/>
  <c r="N46" i="71"/>
  <c r="N46" i="67"/>
  <c r="N46" i="51"/>
  <c r="N46" i="61"/>
  <c r="W46" i="57"/>
  <c r="W46" i="52"/>
  <c r="W46" i="72"/>
  <c r="W46" i="59"/>
  <c r="N46" i="50"/>
  <c r="W46" i="49"/>
  <c r="W46" i="53"/>
  <c r="N46" i="56"/>
  <c r="N46" i="48"/>
  <c r="Y46" i="48" s="1"/>
  <c r="N46" i="54"/>
  <c r="W46" i="54"/>
  <c r="N46" i="53"/>
  <c r="N46" i="52"/>
  <c r="W46" i="51"/>
  <c r="W46" i="50"/>
  <c r="Y46" i="50" s="1"/>
  <c r="N46" i="49"/>
  <c r="Y48" i="54"/>
  <c r="Y48" i="52"/>
  <c r="Y48" i="50"/>
  <c r="Y48" i="48"/>
  <c r="Y48" i="67"/>
  <c r="Q18" i="60"/>
  <c r="Q18" i="61" s="1"/>
  <c r="Q18" i="62" s="1"/>
  <c r="Q18" i="63" s="1"/>
  <c r="Q44" i="56"/>
  <c r="W40" i="56"/>
  <c r="Y40" i="56" s="1"/>
  <c r="Q48" i="56"/>
  <c r="W48" i="56" s="1"/>
  <c r="Y48" i="56" s="1"/>
  <c r="Y48" i="51"/>
  <c r="Y48" i="61"/>
  <c r="Y48" i="53"/>
  <c r="Y48" i="65"/>
  <c r="Y48" i="64"/>
  <c r="Y48" i="70"/>
  <c r="Y46" i="65"/>
  <c r="Y48" i="62"/>
  <c r="Y46" i="60"/>
  <c r="Y48" i="60"/>
  <c r="Y46" i="58"/>
  <c r="Y48" i="58"/>
  <c r="Y48" i="57"/>
  <c r="G18" i="49"/>
  <c r="Y48" i="49"/>
  <c r="V20" i="42"/>
  <c r="V20" i="48" s="1"/>
  <c r="V20" i="49" s="1"/>
  <c r="V20" i="50" s="1"/>
  <c r="V20" i="51" s="1"/>
  <c r="V20" i="52" s="1"/>
  <c r="V20" i="53" s="1"/>
  <c r="V20" i="54" s="1"/>
  <c r="V20" i="56" s="1"/>
  <c r="V20" i="57" s="1"/>
  <c r="V20" i="58" s="1"/>
  <c r="V20" i="59" s="1"/>
  <c r="V20" i="60" s="1"/>
  <c r="V20" i="61" s="1"/>
  <c r="V20" i="62" s="1"/>
  <c r="V20" i="63" s="1"/>
  <c r="V20" i="64" s="1"/>
  <c r="V20" i="65" s="1"/>
  <c r="V20" i="66" s="1"/>
  <c r="V20" i="67" s="1"/>
  <c r="V20" i="68" s="1"/>
  <c r="V20" i="69" s="1"/>
  <c r="V20" i="70" s="1"/>
  <c r="V20" i="71" s="1"/>
  <c r="V20" i="72" s="1"/>
  <c r="U20" i="42"/>
  <c r="U20" i="48" s="1"/>
  <c r="U20" i="49" s="1"/>
  <c r="U20" i="50" s="1"/>
  <c r="U20" i="51" s="1"/>
  <c r="U20" i="52" s="1"/>
  <c r="U20" i="53" s="1"/>
  <c r="U20" i="54" s="1"/>
  <c r="U20" i="56" s="1"/>
  <c r="U20" i="57" s="1"/>
  <c r="U20" i="58" s="1"/>
  <c r="U20" i="59" s="1"/>
  <c r="U20" i="60" s="1"/>
  <c r="U20" i="61" s="1"/>
  <c r="U20" i="62" s="1"/>
  <c r="U20" i="63" s="1"/>
  <c r="U20" i="64" s="1"/>
  <c r="U20" i="65" s="1"/>
  <c r="U20" i="66" s="1"/>
  <c r="U20" i="67" s="1"/>
  <c r="U20" i="68" s="1"/>
  <c r="U20" i="69" s="1"/>
  <c r="U20" i="70" s="1"/>
  <c r="U20" i="71" s="1"/>
  <c r="U20" i="72" s="1"/>
  <c r="T20" i="42"/>
  <c r="T20" i="48" s="1"/>
  <c r="T20" i="49" s="1"/>
  <c r="T20" i="50" s="1"/>
  <c r="T20" i="51" s="1"/>
  <c r="T20" i="52" s="1"/>
  <c r="T20" i="53" s="1"/>
  <c r="T20" i="54" s="1"/>
  <c r="T20" i="56" s="1"/>
  <c r="T20" i="57" s="1"/>
  <c r="T20" i="58" s="1"/>
  <c r="T20" i="59" s="1"/>
  <c r="T20" i="60" s="1"/>
  <c r="T20" i="61" s="1"/>
  <c r="T20" i="62" s="1"/>
  <c r="T20" i="63" s="1"/>
  <c r="T20" i="64" s="1"/>
  <c r="T20" i="65" s="1"/>
  <c r="T20" i="66" s="1"/>
  <c r="T20" i="67" s="1"/>
  <c r="T20" i="68" s="1"/>
  <c r="T20" i="69" s="1"/>
  <c r="T20" i="70" s="1"/>
  <c r="T20" i="71" s="1"/>
  <c r="T20" i="72" s="1"/>
  <c r="S20" i="42"/>
  <c r="S20" i="48" s="1"/>
  <c r="S20" i="49" s="1"/>
  <c r="S20" i="50" s="1"/>
  <c r="S20" i="51" s="1"/>
  <c r="S20" i="52" s="1"/>
  <c r="S20" i="53" s="1"/>
  <c r="S20" i="54" s="1"/>
  <c r="S20" i="56" s="1"/>
  <c r="S20" i="57" s="1"/>
  <c r="S20" i="58" s="1"/>
  <c r="S20" i="59" s="1"/>
  <c r="S20" i="60" s="1"/>
  <c r="S20" i="61" s="1"/>
  <c r="S20" i="62" s="1"/>
  <c r="S20" i="63" s="1"/>
  <c r="S20" i="64" s="1"/>
  <c r="S20" i="65" s="1"/>
  <c r="S20" i="66" s="1"/>
  <c r="S20" i="67" s="1"/>
  <c r="S20" i="68" s="1"/>
  <c r="S20" i="69" s="1"/>
  <c r="S20" i="70" s="1"/>
  <c r="S20" i="71" s="1"/>
  <c r="S20" i="72" s="1"/>
  <c r="R20" i="42"/>
  <c r="R20" i="48" s="1"/>
  <c r="R20" i="49" s="1"/>
  <c r="R20" i="50" s="1"/>
  <c r="R20" i="51" s="1"/>
  <c r="R20" i="52" s="1"/>
  <c r="R20" i="53" s="1"/>
  <c r="R20" i="54" s="1"/>
  <c r="R20" i="56" s="1"/>
  <c r="R20" i="57" s="1"/>
  <c r="R20" i="58" s="1"/>
  <c r="R20" i="59" s="1"/>
  <c r="R20" i="60" s="1"/>
  <c r="R20" i="61" s="1"/>
  <c r="R20" i="62" s="1"/>
  <c r="R20" i="63" s="1"/>
  <c r="R20" i="64" s="1"/>
  <c r="R20" i="65" s="1"/>
  <c r="R20" i="66" s="1"/>
  <c r="R20" i="67" s="1"/>
  <c r="R20" i="68" s="1"/>
  <c r="R20" i="69" s="1"/>
  <c r="R20" i="70" s="1"/>
  <c r="R20" i="71" s="1"/>
  <c r="R20" i="72" s="1"/>
  <c r="Q20" i="42"/>
  <c r="Q20" i="48" s="1"/>
  <c r="Q20" i="49" s="1"/>
  <c r="Q20" i="50" s="1"/>
  <c r="Q20" i="51" s="1"/>
  <c r="Q20" i="52" s="1"/>
  <c r="Q20" i="53" s="1"/>
  <c r="Q20" i="54" s="1"/>
  <c r="Q20" i="56" s="1"/>
  <c r="Q20" i="57" s="1"/>
  <c r="Q20" i="58" s="1"/>
  <c r="Q20" i="59" s="1"/>
  <c r="Q20" i="60" s="1"/>
  <c r="Q20" i="61" s="1"/>
  <c r="Q20" i="62" s="1"/>
  <c r="Q20" i="63" s="1"/>
  <c r="Q20" i="64" s="1"/>
  <c r="Q20" i="65" s="1"/>
  <c r="Q20" i="66" s="1"/>
  <c r="Q20" i="67" s="1"/>
  <c r="Q20" i="68" s="1"/>
  <c r="Q20" i="69" s="1"/>
  <c r="Q20" i="70" s="1"/>
  <c r="Q20" i="71" s="1"/>
  <c r="Q20" i="72" s="1"/>
  <c r="P20" i="42"/>
  <c r="P20" i="48" s="1"/>
  <c r="P20" i="49" s="1"/>
  <c r="P20" i="50" s="1"/>
  <c r="P20" i="51" s="1"/>
  <c r="P20" i="52" s="1"/>
  <c r="P20" i="53" s="1"/>
  <c r="P20" i="54" s="1"/>
  <c r="P20" i="56" s="1"/>
  <c r="P20" i="57" s="1"/>
  <c r="P20" i="58" s="1"/>
  <c r="P20" i="59" s="1"/>
  <c r="P20" i="60" s="1"/>
  <c r="P20" i="61" s="1"/>
  <c r="P20" i="62" s="1"/>
  <c r="P20" i="63" s="1"/>
  <c r="P20" i="64" s="1"/>
  <c r="P20" i="65" s="1"/>
  <c r="P20" i="66" s="1"/>
  <c r="P20" i="67" s="1"/>
  <c r="P20" i="68" s="1"/>
  <c r="P20" i="69" s="1"/>
  <c r="P20" i="70" s="1"/>
  <c r="P20" i="71" s="1"/>
  <c r="P20" i="72" s="1"/>
  <c r="V19" i="42"/>
  <c r="V19" i="48" s="1"/>
  <c r="V19" i="49" s="1"/>
  <c r="V19" i="50" s="1"/>
  <c r="V19" i="51" s="1"/>
  <c r="V19" i="52" s="1"/>
  <c r="V19" i="53" s="1"/>
  <c r="V19" i="54" s="1"/>
  <c r="V19" i="56" s="1"/>
  <c r="V19" i="57" s="1"/>
  <c r="V19" i="58" s="1"/>
  <c r="V19" i="59" s="1"/>
  <c r="V19" i="60" s="1"/>
  <c r="V19" i="61" s="1"/>
  <c r="V19" i="62" s="1"/>
  <c r="V19" i="63" s="1"/>
  <c r="V19" i="64" s="1"/>
  <c r="V19" i="65" s="1"/>
  <c r="V19" i="66" s="1"/>
  <c r="V19" i="67" s="1"/>
  <c r="V19" i="68" s="1"/>
  <c r="V19" i="69" s="1"/>
  <c r="V19" i="70" s="1"/>
  <c r="V19" i="71" s="1"/>
  <c r="V19" i="72" s="1"/>
  <c r="U19" i="42"/>
  <c r="U19" i="48" s="1"/>
  <c r="U19" i="49" s="1"/>
  <c r="U19" i="50" s="1"/>
  <c r="U19" i="51" s="1"/>
  <c r="U19" i="52" s="1"/>
  <c r="U19" i="53" s="1"/>
  <c r="U19" i="54" s="1"/>
  <c r="U19" i="56" s="1"/>
  <c r="U19" i="57" s="1"/>
  <c r="U19" i="58" s="1"/>
  <c r="U19" i="59" s="1"/>
  <c r="U19" i="60" s="1"/>
  <c r="U19" i="61" s="1"/>
  <c r="U19" i="62" s="1"/>
  <c r="U19" i="63" s="1"/>
  <c r="U19" i="64" s="1"/>
  <c r="U19" i="65" s="1"/>
  <c r="U19" i="66" s="1"/>
  <c r="U19" i="67" s="1"/>
  <c r="U19" i="68" s="1"/>
  <c r="U19" i="69" s="1"/>
  <c r="U19" i="70" s="1"/>
  <c r="U19" i="71" s="1"/>
  <c r="U19" i="72" s="1"/>
  <c r="T19" i="42"/>
  <c r="T19" i="48" s="1"/>
  <c r="T19" i="49" s="1"/>
  <c r="T19" i="50" s="1"/>
  <c r="T19" i="51" s="1"/>
  <c r="T19" i="52" s="1"/>
  <c r="T19" i="53" s="1"/>
  <c r="T19" i="54" s="1"/>
  <c r="T19" i="56" s="1"/>
  <c r="T19" i="57" s="1"/>
  <c r="T19" i="58" s="1"/>
  <c r="T19" i="59" s="1"/>
  <c r="T19" i="60" s="1"/>
  <c r="T19" i="61" s="1"/>
  <c r="T19" i="62" s="1"/>
  <c r="T19" i="63" s="1"/>
  <c r="T19" i="64" s="1"/>
  <c r="T19" i="65" s="1"/>
  <c r="T19" i="66" s="1"/>
  <c r="T19" i="67" s="1"/>
  <c r="T19" i="68" s="1"/>
  <c r="T19" i="69" s="1"/>
  <c r="T19" i="70" s="1"/>
  <c r="T19" i="71" s="1"/>
  <c r="T19" i="72" s="1"/>
  <c r="S19" i="42"/>
  <c r="S19" i="48" s="1"/>
  <c r="S19" i="49" s="1"/>
  <c r="S19" i="50" s="1"/>
  <c r="S19" i="51" s="1"/>
  <c r="S19" i="52" s="1"/>
  <c r="S19" i="53" s="1"/>
  <c r="S19" i="54" s="1"/>
  <c r="S19" i="56" s="1"/>
  <c r="S19" i="57" s="1"/>
  <c r="S19" i="58" s="1"/>
  <c r="S19" i="59" s="1"/>
  <c r="S19" i="60" s="1"/>
  <c r="S19" i="61" s="1"/>
  <c r="S19" i="62" s="1"/>
  <c r="S19" i="63" s="1"/>
  <c r="S19" i="64" s="1"/>
  <c r="S19" i="65" s="1"/>
  <c r="S19" i="66" s="1"/>
  <c r="S19" i="67" s="1"/>
  <c r="S19" i="68" s="1"/>
  <c r="S19" i="69" s="1"/>
  <c r="S19" i="70" s="1"/>
  <c r="S19" i="71" s="1"/>
  <c r="S19" i="72" s="1"/>
  <c r="R19" i="42"/>
  <c r="R19" i="48" s="1"/>
  <c r="R19" i="49" s="1"/>
  <c r="R19" i="50" s="1"/>
  <c r="R19" i="51" s="1"/>
  <c r="R19" i="52" s="1"/>
  <c r="R19" i="53" s="1"/>
  <c r="R19" i="54" s="1"/>
  <c r="R19" i="56" s="1"/>
  <c r="R19" i="57" s="1"/>
  <c r="R19" i="58" s="1"/>
  <c r="R19" i="59" s="1"/>
  <c r="R19" i="60" s="1"/>
  <c r="R19" i="61" s="1"/>
  <c r="R19" i="62" s="1"/>
  <c r="R19" i="63" s="1"/>
  <c r="R19" i="64" s="1"/>
  <c r="R19" i="65" s="1"/>
  <c r="R19" i="66" s="1"/>
  <c r="R19" i="67" s="1"/>
  <c r="R19" i="68" s="1"/>
  <c r="R19" i="69" s="1"/>
  <c r="R19" i="70" s="1"/>
  <c r="R19" i="71" s="1"/>
  <c r="R19" i="72" s="1"/>
  <c r="Q19" i="42"/>
  <c r="Q19" i="48" s="1"/>
  <c r="Q19" i="49" s="1"/>
  <c r="Q19" i="50" s="1"/>
  <c r="Q19" i="51" s="1"/>
  <c r="Q19" i="52" s="1"/>
  <c r="Q19" i="53" s="1"/>
  <c r="Q19" i="54" s="1"/>
  <c r="Q19" i="56" s="1"/>
  <c r="Q19" i="57" s="1"/>
  <c r="Q19" i="58" s="1"/>
  <c r="Q19" i="59" s="1"/>
  <c r="Q19" i="60" s="1"/>
  <c r="Q19" i="61" s="1"/>
  <c r="Q19" i="62" s="1"/>
  <c r="Q19" i="63" s="1"/>
  <c r="Q19" i="64" s="1"/>
  <c r="Q19" i="65" s="1"/>
  <c r="Q19" i="66" s="1"/>
  <c r="Q19" i="67" s="1"/>
  <c r="Q19" i="68" s="1"/>
  <c r="Q19" i="69" s="1"/>
  <c r="Q19" i="70" s="1"/>
  <c r="Q19" i="71" s="1"/>
  <c r="Q19" i="72" s="1"/>
  <c r="P19" i="42"/>
  <c r="P19" i="48" s="1"/>
  <c r="P19" i="49" s="1"/>
  <c r="P19" i="50" s="1"/>
  <c r="P19" i="51" s="1"/>
  <c r="P19" i="52" s="1"/>
  <c r="P19" i="53" s="1"/>
  <c r="P19" i="54" s="1"/>
  <c r="P19" i="56" s="1"/>
  <c r="P19" i="57" s="1"/>
  <c r="P19" i="58" s="1"/>
  <c r="P19" i="59" s="1"/>
  <c r="P19" i="60" s="1"/>
  <c r="P19" i="61" s="1"/>
  <c r="P19" i="62" s="1"/>
  <c r="P19" i="63" s="1"/>
  <c r="P19" i="64" s="1"/>
  <c r="P19" i="65" s="1"/>
  <c r="P19" i="66" s="1"/>
  <c r="P19" i="67" s="1"/>
  <c r="P19" i="68" s="1"/>
  <c r="P19" i="69" s="1"/>
  <c r="P19" i="70" s="1"/>
  <c r="P19" i="71" s="1"/>
  <c r="P19" i="72" s="1"/>
  <c r="V18" i="42"/>
  <c r="V18" i="48" s="1"/>
  <c r="V18" i="49" s="1"/>
  <c r="V18" i="50" s="1"/>
  <c r="V18" i="51" s="1"/>
  <c r="V18" i="52" s="1"/>
  <c r="V18" i="53" s="1"/>
  <c r="V18" i="54" s="1"/>
  <c r="V18" i="56" s="1"/>
  <c r="V18" i="57" s="1"/>
  <c r="V18" i="58" s="1"/>
  <c r="V18" i="59" s="1"/>
  <c r="V18" i="60" s="1"/>
  <c r="V18" i="61" s="1"/>
  <c r="V18" i="62" s="1"/>
  <c r="V18" i="63" s="1"/>
  <c r="V18" i="64" s="1"/>
  <c r="V18" i="65" s="1"/>
  <c r="V18" i="66" s="1"/>
  <c r="V18" i="67" s="1"/>
  <c r="V18" i="68" s="1"/>
  <c r="V18" i="69" s="1"/>
  <c r="V18" i="70" s="1"/>
  <c r="V18" i="71" s="1"/>
  <c r="V18" i="72" s="1"/>
  <c r="U18" i="42"/>
  <c r="U18" i="48" s="1"/>
  <c r="U18" i="49" s="1"/>
  <c r="U18" i="50" s="1"/>
  <c r="U18" i="51" s="1"/>
  <c r="U18" i="52" s="1"/>
  <c r="U18" i="53" s="1"/>
  <c r="U18" i="54" s="1"/>
  <c r="U18" i="56" s="1"/>
  <c r="U18" i="57" s="1"/>
  <c r="U18" i="58" s="1"/>
  <c r="U18" i="59" s="1"/>
  <c r="U18" i="60" s="1"/>
  <c r="U18" i="61" s="1"/>
  <c r="U18" i="62" s="1"/>
  <c r="U18" i="63" s="1"/>
  <c r="U18" i="64" s="1"/>
  <c r="U18" i="65" s="1"/>
  <c r="U18" i="66" s="1"/>
  <c r="U18" i="67" s="1"/>
  <c r="U18" i="68" s="1"/>
  <c r="U18" i="69" s="1"/>
  <c r="U18" i="70" s="1"/>
  <c r="U18" i="71" s="1"/>
  <c r="U18" i="72" s="1"/>
  <c r="T18" i="42"/>
  <c r="T18" i="48" s="1"/>
  <c r="T18" i="49" s="1"/>
  <c r="T18" i="50" s="1"/>
  <c r="T18" i="51" s="1"/>
  <c r="T18" i="52" s="1"/>
  <c r="T18" i="53" s="1"/>
  <c r="T18" i="54" s="1"/>
  <c r="T18" i="56" s="1"/>
  <c r="T18" i="57" s="1"/>
  <c r="T18" i="58" s="1"/>
  <c r="T18" i="59" s="1"/>
  <c r="T18" i="60" s="1"/>
  <c r="T18" i="61" s="1"/>
  <c r="T18" i="62" s="1"/>
  <c r="T18" i="63" s="1"/>
  <c r="T18" i="64" s="1"/>
  <c r="T18" i="65" s="1"/>
  <c r="T18" i="66" s="1"/>
  <c r="T18" i="67" s="1"/>
  <c r="T18" i="68" s="1"/>
  <c r="T18" i="69" s="1"/>
  <c r="T18" i="70" s="1"/>
  <c r="T18" i="71" s="1"/>
  <c r="T18" i="72" s="1"/>
  <c r="S18" i="42"/>
  <c r="S18" i="48" s="1"/>
  <c r="S18" i="49" s="1"/>
  <c r="S18" i="50" s="1"/>
  <c r="S18" i="51" s="1"/>
  <c r="S18" i="52" s="1"/>
  <c r="S18" i="53" s="1"/>
  <c r="S18" i="54" s="1"/>
  <c r="S18" i="56" s="1"/>
  <c r="S18" i="57" s="1"/>
  <c r="S18" i="58" s="1"/>
  <c r="S18" i="59" s="1"/>
  <c r="S18" i="60" s="1"/>
  <c r="S18" i="61" s="1"/>
  <c r="S18" i="62" s="1"/>
  <c r="S18" i="63" s="1"/>
  <c r="S18" i="64" s="1"/>
  <c r="S18" i="65" s="1"/>
  <c r="S18" i="66" s="1"/>
  <c r="S18" i="67" s="1"/>
  <c r="S18" i="68" s="1"/>
  <c r="S18" i="69" s="1"/>
  <c r="S18" i="70" s="1"/>
  <c r="S18" i="71" s="1"/>
  <c r="S18" i="72" s="1"/>
  <c r="R18" i="42"/>
  <c r="R18" i="48" s="1"/>
  <c r="R18" i="49" s="1"/>
  <c r="R18" i="50" s="1"/>
  <c r="R18" i="51" s="1"/>
  <c r="R18" i="52" s="1"/>
  <c r="R18" i="53" s="1"/>
  <c r="R18" i="54" s="1"/>
  <c r="R18" i="56" s="1"/>
  <c r="R18" i="57" s="1"/>
  <c r="R18" i="58" s="1"/>
  <c r="R18" i="59" s="1"/>
  <c r="R18" i="60" s="1"/>
  <c r="R18" i="61" s="1"/>
  <c r="R18" i="62" s="1"/>
  <c r="R18" i="63" s="1"/>
  <c r="R18" i="64" s="1"/>
  <c r="R18" i="65" s="1"/>
  <c r="R18" i="66" s="1"/>
  <c r="R18" i="67" s="1"/>
  <c r="R18" i="68" s="1"/>
  <c r="R18" i="69" s="1"/>
  <c r="R18" i="70" s="1"/>
  <c r="R18" i="71" s="1"/>
  <c r="R18" i="72" s="1"/>
  <c r="P18" i="42"/>
  <c r="P18" i="48" s="1"/>
  <c r="M20" i="42"/>
  <c r="M20" i="48" s="1"/>
  <c r="M20" i="49" s="1"/>
  <c r="M20" i="50" s="1"/>
  <c r="M20" i="51" s="1"/>
  <c r="M20" i="52" s="1"/>
  <c r="M20" i="53" s="1"/>
  <c r="M20" i="54" s="1"/>
  <c r="M20" i="56" s="1"/>
  <c r="M20" i="57" s="1"/>
  <c r="M20" i="58" s="1"/>
  <c r="M20" i="59" s="1"/>
  <c r="M20" i="60" s="1"/>
  <c r="M20" i="61" s="1"/>
  <c r="M20" i="62" s="1"/>
  <c r="M20" i="63" s="1"/>
  <c r="M20" i="64" s="1"/>
  <c r="M20" i="65" s="1"/>
  <c r="M20" i="66" s="1"/>
  <c r="M20" i="67" s="1"/>
  <c r="M20" i="68" s="1"/>
  <c r="M20" i="69" s="1"/>
  <c r="M20" i="70" s="1"/>
  <c r="M20" i="71" s="1"/>
  <c r="M20" i="72" s="1"/>
  <c r="L20" i="42"/>
  <c r="L20" i="48" s="1"/>
  <c r="L20" i="49" s="1"/>
  <c r="L20" i="50" s="1"/>
  <c r="L20" i="51" s="1"/>
  <c r="L20" i="52" s="1"/>
  <c r="L20" i="53" s="1"/>
  <c r="L20" i="54" s="1"/>
  <c r="L20" i="56" s="1"/>
  <c r="L20" i="57" s="1"/>
  <c r="L20" i="58" s="1"/>
  <c r="L20" i="59" s="1"/>
  <c r="L20" i="60" s="1"/>
  <c r="L20" i="61" s="1"/>
  <c r="L20" i="62" s="1"/>
  <c r="L20" i="63" s="1"/>
  <c r="L20" i="64" s="1"/>
  <c r="L20" i="65" s="1"/>
  <c r="L20" i="66" s="1"/>
  <c r="L20" i="67" s="1"/>
  <c r="L20" i="68" s="1"/>
  <c r="L20" i="69" s="1"/>
  <c r="L20" i="70" s="1"/>
  <c r="L20" i="71" s="1"/>
  <c r="L20" i="72" s="1"/>
  <c r="K20" i="42"/>
  <c r="K20" i="48" s="1"/>
  <c r="K20" i="49" s="1"/>
  <c r="K20" i="50" s="1"/>
  <c r="K20" i="51" s="1"/>
  <c r="K20" i="52" s="1"/>
  <c r="K20" i="53" s="1"/>
  <c r="K20" i="54" s="1"/>
  <c r="K20" i="56" s="1"/>
  <c r="K20" i="57" s="1"/>
  <c r="K20" i="58" s="1"/>
  <c r="K20" i="59" s="1"/>
  <c r="K20" i="60" s="1"/>
  <c r="K20" i="61" s="1"/>
  <c r="K20" i="62" s="1"/>
  <c r="K20" i="63" s="1"/>
  <c r="K20" i="64" s="1"/>
  <c r="K20" i="65" s="1"/>
  <c r="K20" i="66" s="1"/>
  <c r="K20" i="67" s="1"/>
  <c r="K20" i="68" s="1"/>
  <c r="K20" i="69" s="1"/>
  <c r="K20" i="70" s="1"/>
  <c r="K20" i="71" s="1"/>
  <c r="K20" i="72" s="1"/>
  <c r="J20" i="42"/>
  <c r="J20" i="48" s="1"/>
  <c r="J20" i="49" s="1"/>
  <c r="J20" i="50" s="1"/>
  <c r="J20" i="51" s="1"/>
  <c r="J20" i="52" s="1"/>
  <c r="J20" i="53" s="1"/>
  <c r="J20" i="54" s="1"/>
  <c r="J20" i="56" s="1"/>
  <c r="J20" i="57" s="1"/>
  <c r="J20" i="58" s="1"/>
  <c r="J20" i="59" s="1"/>
  <c r="J20" i="60" s="1"/>
  <c r="J20" i="61" s="1"/>
  <c r="J20" i="62" s="1"/>
  <c r="J20" i="63" s="1"/>
  <c r="J20" i="64" s="1"/>
  <c r="J20" i="65" s="1"/>
  <c r="J20" i="66" s="1"/>
  <c r="J20" i="67" s="1"/>
  <c r="J20" i="68" s="1"/>
  <c r="J20" i="69" s="1"/>
  <c r="J20" i="70" s="1"/>
  <c r="J20" i="71" s="1"/>
  <c r="J20" i="72" s="1"/>
  <c r="I20" i="42"/>
  <c r="I20" i="48" s="1"/>
  <c r="I20" i="49" s="1"/>
  <c r="I20" i="50" s="1"/>
  <c r="I20" i="51" s="1"/>
  <c r="I20" i="52" s="1"/>
  <c r="I20" i="53" s="1"/>
  <c r="I20" i="54" s="1"/>
  <c r="I20" i="56" s="1"/>
  <c r="I20" i="57" s="1"/>
  <c r="I20" i="58" s="1"/>
  <c r="I20" i="59" s="1"/>
  <c r="I20" i="60" s="1"/>
  <c r="I20" i="61" s="1"/>
  <c r="I20" i="62" s="1"/>
  <c r="I20" i="63" s="1"/>
  <c r="I20" i="64" s="1"/>
  <c r="I20" i="65" s="1"/>
  <c r="I20" i="66" s="1"/>
  <c r="I20" i="67" s="1"/>
  <c r="I20" i="68" s="1"/>
  <c r="I20" i="69" s="1"/>
  <c r="I20" i="70" s="1"/>
  <c r="I20" i="71" s="1"/>
  <c r="I20" i="72" s="1"/>
  <c r="H20" i="42"/>
  <c r="H20" i="48" s="1"/>
  <c r="H20" i="49" s="1"/>
  <c r="H20" i="50" s="1"/>
  <c r="H20" i="51" s="1"/>
  <c r="H20" i="52" s="1"/>
  <c r="H20" i="53" s="1"/>
  <c r="H20" i="54" s="1"/>
  <c r="H20" i="56" s="1"/>
  <c r="H20" i="57" s="1"/>
  <c r="H20" i="58" s="1"/>
  <c r="H20" i="59" s="1"/>
  <c r="H20" i="60" s="1"/>
  <c r="H20" i="61" s="1"/>
  <c r="H20" i="62" s="1"/>
  <c r="H20" i="63" s="1"/>
  <c r="H20" i="64" s="1"/>
  <c r="H20" i="65" s="1"/>
  <c r="H20" i="66" s="1"/>
  <c r="H20" i="67" s="1"/>
  <c r="H20" i="68" s="1"/>
  <c r="H20" i="69" s="1"/>
  <c r="H20" i="70" s="1"/>
  <c r="H20" i="71" s="1"/>
  <c r="H20" i="72" s="1"/>
  <c r="G20" i="42"/>
  <c r="G20" i="48" s="1"/>
  <c r="G20" i="49" s="1"/>
  <c r="G20" i="50" s="1"/>
  <c r="G20" i="51" s="1"/>
  <c r="G20" i="52" s="1"/>
  <c r="G20" i="53" s="1"/>
  <c r="G20" i="54" s="1"/>
  <c r="G20" i="56" s="1"/>
  <c r="G20" i="57" s="1"/>
  <c r="G20" i="58" s="1"/>
  <c r="G20" i="59" s="1"/>
  <c r="G20" i="60" s="1"/>
  <c r="G20" i="61" s="1"/>
  <c r="G20" i="62" s="1"/>
  <c r="G20" i="63" s="1"/>
  <c r="G20" i="64" s="1"/>
  <c r="G20" i="65" s="1"/>
  <c r="G20" i="66" s="1"/>
  <c r="G20" i="67" s="1"/>
  <c r="G20" i="68" s="1"/>
  <c r="G20" i="69" s="1"/>
  <c r="G20" i="70" s="1"/>
  <c r="G20" i="71" s="1"/>
  <c r="G20" i="72" s="1"/>
  <c r="M19" i="42"/>
  <c r="M19" i="48" s="1"/>
  <c r="M19" i="49" s="1"/>
  <c r="M19" i="50" s="1"/>
  <c r="M19" i="51" s="1"/>
  <c r="M19" i="52" s="1"/>
  <c r="M19" i="53" s="1"/>
  <c r="M19" i="54" s="1"/>
  <c r="M19" i="56" s="1"/>
  <c r="M19" i="57" s="1"/>
  <c r="M19" i="58" s="1"/>
  <c r="M19" i="59" s="1"/>
  <c r="M19" i="60" s="1"/>
  <c r="M19" i="61" s="1"/>
  <c r="M19" i="62" s="1"/>
  <c r="M19" i="63" s="1"/>
  <c r="M19" i="64" s="1"/>
  <c r="M19" i="65" s="1"/>
  <c r="M19" i="66" s="1"/>
  <c r="M19" i="67" s="1"/>
  <c r="M19" i="68" s="1"/>
  <c r="M19" i="69" s="1"/>
  <c r="M19" i="70" s="1"/>
  <c r="M19" i="71" s="1"/>
  <c r="M19" i="72" s="1"/>
  <c r="L19" i="42"/>
  <c r="L19" i="48" s="1"/>
  <c r="L19" i="49" s="1"/>
  <c r="L19" i="50" s="1"/>
  <c r="L19" i="51" s="1"/>
  <c r="L19" i="52" s="1"/>
  <c r="L19" i="53" s="1"/>
  <c r="L19" i="54" s="1"/>
  <c r="L19" i="56" s="1"/>
  <c r="L19" i="57" s="1"/>
  <c r="L19" i="58" s="1"/>
  <c r="L19" i="59" s="1"/>
  <c r="L19" i="60" s="1"/>
  <c r="L19" i="61" s="1"/>
  <c r="L19" i="62" s="1"/>
  <c r="L19" i="63" s="1"/>
  <c r="L19" i="64" s="1"/>
  <c r="L19" i="65" s="1"/>
  <c r="L19" i="66" s="1"/>
  <c r="L19" i="67" s="1"/>
  <c r="L19" i="68" s="1"/>
  <c r="L19" i="69" s="1"/>
  <c r="L19" i="70" s="1"/>
  <c r="L19" i="71" s="1"/>
  <c r="L19" i="72" s="1"/>
  <c r="K19" i="42"/>
  <c r="K19" i="48" s="1"/>
  <c r="K19" i="49" s="1"/>
  <c r="K19" i="50" s="1"/>
  <c r="K19" i="51" s="1"/>
  <c r="K19" i="52" s="1"/>
  <c r="K19" i="53" s="1"/>
  <c r="K19" i="54" s="1"/>
  <c r="K19" i="56" s="1"/>
  <c r="K19" i="57" s="1"/>
  <c r="K19" i="58" s="1"/>
  <c r="K19" i="59" s="1"/>
  <c r="K19" i="60" s="1"/>
  <c r="K19" i="61" s="1"/>
  <c r="K19" i="62" s="1"/>
  <c r="K19" i="63" s="1"/>
  <c r="K19" i="64" s="1"/>
  <c r="K19" i="65" s="1"/>
  <c r="K19" i="66" s="1"/>
  <c r="K19" i="67" s="1"/>
  <c r="K19" i="68" s="1"/>
  <c r="K19" i="69" s="1"/>
  <c r="K19" i="70" s="1"/>
  <c r="K19" i="71" s="1"/>
  <c r="K19" i="72" s="1"/>
  <c r="J19" i="42"/>
  <c r="J19" i="48" s="1"/>
  <c r="J19" i="49" s="1"/>
  <c r="J19" i="50" s="1"/>
  <c r="J19" i="51" s="1"/>
  <c r="J19" i="52" s="1"/>
  <c r="J19" i="53" s="1"/>
  <c r="J19" i="54" s="1"/>
  <c r="J19" i="56" s="1"/>
  <c r="J19" i="57" s="1"/>
  <c r="J19" i="58" s="1"/>
  <c r="J19" i="59" s="1"/>
  <c r="J19" i="60" s="1"/>
  <c r="J19" i="61" s="1"/>
  <c r="J19" i="62" s="1"/>
  <c r="J19" i="63" s="1"/>
  <c r="J19" i="64" s="1"/>
  <c r="J19" i="65" s="1"/>
  <c r="J19" i="66" s="1"/>
  <c r="J19" i="67" s="1"/>
  <c r="J19" i="68" s="1"/>
  <c r="J19" i="69" s="1"/>
  <c r="J19" i="70" s="1"/>
  <c r="J19" i="71" s="1"/>
  <c r="J19" i="72" s="1"/>
  <c r="I19" i="42"/>
  <c r="I19" i="48" s="1"/>
  <c r="I19" i="49" s="1"/>
  <c r="I19" i="50" s="1"/>
  <c r="I19" i="51" s="1"/>
  <c r="I19" i="52" s="1"/>
  <c r="I19" i="53" s="1"/>
  <c r="I19" i="54" s="1"/>
  <c r="I19" i="56" s="1"/>
  <c r="I19" i="57" s="1"/>
  <c r="I19" i="58" s="1"/>
  <c r="I19" i="59" s="1"/>
  <c r="I19" i="60" s="1"/>
  <c r="I19" i="61" s="1"/>
  <c r="I19" i="62" s="1"/>
  <c r="I19" i="63" s="1"/>
  <c r="I19" i="64" s="1"/>
  <c r="I19" i="65" s="1"/>
  <c r="I19" i="66" s="1"/>
  <c r="I19" i="67" s="1"/>
  <c r="I19" i="68" s="1"/>
  <c r="I19" i="69" s="1"/>
  <c r="I19" i="70" s="1"/>
  <c r="I19" i="71" s="1"/>
  <c r="I19" i="72" s="1"/>
  <c r="H19" i="42"/>
  <c r="H19" i="48" s="1"/>
  <c r="H19" i="49" s="1"/>
  <c r="H19" i="50" s="1"/>
  <c r="H19" i="51" s="1"/>
  <c r="H19" i="52" s="1"/>
  <c r="H19" i="53" s="1"/>
  <c r="H19" i="54" s="1"/>
  <c r="H19" i="56" s="1"/>
  <c r="H19" i="57" s="1"/>
  <c r="H19" i="58" s="1"/>
  <c r="H19" i="59" s="1"/>
  <c r="H19" i="60" s="1"/>
  <c r="H19" i="61" s="1"/>
  <c r="H19" i="62" s="1"/>
  <c r="H19" i="63" s="1"/>
  <c r="H19" i="64" s="1"/>
  <c r="H19" i="65" s="1"/>
  <c r="H19" i="66" s="1"/>
  <c r="H19" i="67" s="1"/>
  <c r="H19" i="68" s="1"/>
  <c r="H19" i="69" s="1"/>
  <c r="H19" i="70" s="1"/>
  <c r="H19" i="71" s="1"/>
  <c r="H19" i="72" s="1"/>
  <c r="G19" i="42"/>
  <c r="G19" i="48" s="1"/>
  <c r="G19" i="49" s="1"/>
  <c r="G19" i="50" s="1"/>
  <c r="G19" i="51" s="1"/>
  <c r="G19" i="52" s="1"/>
  <c r="G19" i="53" s="1"/>
  <c r="G19" i="54" s="1"/>
  <c r="G19" i="56" s="1"/>
  <c r="G19" i="57" s="1"/>
  <c r="G19" i="58" s="1"/>
  <c r="G19" i="59" s="1"/>
  <c r="G19" i="60" s="1"/>
  <c r="G19" i="61" s="1"/>
  <c r="G19" i="62" s="1"/>
  <c r="G19" i="63" s="1"/>
  <c r="G19" i="64" s="1"/>
  <c r="G19" i="65" s="1"/>
  <c r="G19" i="66" s="1"/>
  <c r="G19" i="67" s="1"/>
  <c r="G19" i="68" s="1"/>
  <c r="G19" i="69" s="1"/>
  <c r="G19" i="70" s="1"/>
  <c r="G19" i="71" s="1"/>
  <c r="G19" i="72" s="1"/>
  <c r="M18" i="42"/>
  <c r="M18" i="48" s="1"/>
  <c r="M18" i="49" s="1"/>
  <c r="M18" i="50" s="1"/>
  <c r="M18" i="51" s="1"/>
  <c r="M18" i="52" s="1"/>
  <c r="M18" i="53" s="1"/>
  <c r="M18" i="54" s="1"/>
  <c r="M18" i="56" s="1"/>
  <c r="M18" i="57" s="1"/>
  <c r="M18" i="58" s="1"/>
  <c r="M18" i="59" s="1"/>
  <c r="M18" i="60" s="1"/>
  <c r="M18" i="61" s="1"/>
  <c r="M18" i="62" s="1"/>
  <c r="M18" i="63" s="1"/>
  <c r="M18" i="64" s="1"/>
  <c r="M18" i="65" s="1"/>
  <c r="M18" i="66" s="1"/>
  <c r="M18" i="67" s="1"/>
  <c r="M18" i="68" s="1"/>
  <c r="M18" i="69" s="1"/>
  <c r="M18" i="70" s="1"/>
  <c r="M18" i="71" s="1"/>
  <c r="M18" i="72" s="1"/>
  <c r="L18" i="42"/>
  <c r="L18" i="48" s="1"/>
  <c r="L18" i="49" s="1"/>
  <c r="L18" i="50" s="1"/>
  <c r="L18" i="51" s="1"/>
  <c r="L18" i="52" s="1"/>
  <c r="L18" i="53" s="1"/>
  <c r="L18" i="54" s="1"/>
  <c r="L18" i="56" s="1"/>
  <c r="L18" i="57" s="1"/>
  <c r="L18" i="58" s="1"/>
  <c r="L18" i="59" s="1"/>
  <c r="L18" i="60" s="1"/>
  <c r="L18" i="61" s="1"/>
  <c r="L18" i="62" s="1"/>
  <c r="L18" i="63" s="1"/>
  <c r="L18" i="64" s="1"/>
  <c r="L18" i="65" s="1"/>
  <c r="L18" i="66" s="1"/>
  <c r="L18" i="67" s="1"/>
  <c r="L18" i="68" s="1"/>
  <c r="L18" i="69" s="1"/>
  <c r="L18" i="70" s="1"/>
  <c r="L18" i="71" s="1"/>
  <c r="L18" i="72" s="1"/>
  <c r="K18" i="42"/>
  <c r="K18" i="48" s="1"/>
  <c r="K18" i="49" s="1"/>
  <c r="K18" i="50" s="1"/>
  <c r="K18" i="51" s="1"/>
  <c r="K18" i="52" s="1"/>
  <c r="K18" i="53" s="1"/>
  <c r="K18" i="54" s="1"/>
  <c r="K18" i="56" s="1"/>
  <c r="K18" i="57" s="1"/>
  <c r="K18" i="58" s="1"/>
  <c r="K18" i="59" s="1"/>
  <c r="K18" i="60" s="1"/>
  <c r="K18" i="61" s="1"/>
  <c r="K18" i="62" s="1"/>
  <c r="K18" i="63" s="1"/>
  <c r="K18" i="64" s="1"/>
  <c r="K18" i="65" s="1"/>
  <c r="K18" i="66" s="1"/>
  <c r="K18" i="67" s="1"/>
  <c r="K18" i="68" s="1"/>
  <c r="K18" i="69" s="1"/>
  <c r="K18" i="70" s="1"/>
  <c r="K18" i="71" s="1"/>
  <c r="K18" i="72" s="1"/>
  <c r="J18" i="42"/>
  <c r="J18" i="48" s="1"/>
  <c r="J18" i="49" s="1"/>
  <c r="J18" i="50" s="1"/>
  <c r="J18" i="51" s="1"/>
  <c r="J18" i="52" s="1"/>
  <c r="J18" i="53" s="1"/>
  <c r="J18" i="54" s="1"/>
  <c r="J18" i="56" s="1"/>
  <c r="J18" i="57" s="1"/>
  <c r="J18" i="58" s="1"/>
  <c r="J18" i="59" s="1"/>
  <c r="J18" i="60" s="1"/>
  <c r="J18" i="61" s="1"/>
  <c r="J18" i="62" s="1"/>
  <c r="J18" i="63" s="1"/>
  <c r="J18" i="64" s="1"/>
  <c r="J18" i="65" s="1"/>
  <c r="J18" i="66" s="1"/>
  <c r="J18" i="67" s="1"/>
  <c r="J18" i="68" s="1"/>
  <c r="J18" i="69" s="1"/>
  <c r="J18" i="70" s="1"/>
  <c r="J18" i="71" s="1"/>
  <c r="J18" i="72" s="1"/>
  <c r="I18" i="42"/>
  <c r="I18" i="48" s="1"/>
  <c r="I18" i="49" s="1"/>
  <c r="I18" i="50" s="1"/>
  <c r="I18" i="51" s="1"/>
  <c r="I18" i="52" s="1"/>
  <c r="I18" i="53" s="1"/>
  <c r="I18" i="54" s="1"/>
  <c r="I18" i="56" s="1"/>
  <c r="I18" i="57" s="1"/>
  <c r="I18" i="58" s="1"/>
  <c r="I18" i="59" s="1"/>
  <c r="I18" i="60" s="1"/>
  <c r="I18" i="61" s="1"/>
  <c r="I18" i="62" s="1"/>
  <c r="I18" i="63" s="1"/>
  <c r="I18" i="64" s="1"/>
  <c r="I18" i="65" s="1"/>
  <c r="I18" i="66" s="1"/>
  <c r="I18" i="67" s="1"/>
  <c r="I18" i="68" s="1"/>
  <c r="I18" i="69" s="1"/>
  <c r="I18" i="70" s="1"/>
  <c r="I18" i="71" s="1"/>
  <c r="I18" i="72" s="1"/>
  <c r="H18" i="42"/>
  <c r="H18" i="48" s="1"/>
  <c r="H18" i="49" s="1"/>
  <c r="H18" i="50" s="1"/>
  <c r="H18" i="51" s="1"/>
  <c r="H18" i="52" s="1"/>
  <c r="H18" i="53" s="1"/>
  <c r="H18" i="54" s="1"/>
  <c r="H18" i="56" s="1"/>
  <c r="H18" i="57" s="1"/>
  <c r="H18" i="58" s="1"/>
  <c r="H18" i="59" s="1"/>
  <c r="H18" i="60" s="1"/>
  <c r="H18" i="61" s="1"/>
  <c r="H18" i="62" s="1"/>
  <c r="H18" i="63" s="1"/>
  <c r="H18" i="64" s="1"/>
  <c r="H18" i="65" s="1"/>
  <c r="H18" i="66" s="1"/>
  <c r="H18" i="67" s="1"/>
  <c r="H18" i="68" s="1"/>
  <c r="H18" i="69" s="1"/>
  <c r="H18" i="70" s="1"/>
  <c r="H18" i="71" s="1"/>
  <c r="H18" i="72" s="1"/>
  <c r="Y46" i="57" l="1"/>
  <c r="Y46" i="64"/>
  <c r="Y46" i="49"/>
  <c r="Y46" i="61"/>
  <c r="Y46" i="67"/>
  <c r="Y46" i="51"/>
  <c r="Y46" i="52"/>
  <c r="Y46" i="53"/>
  <c r="Y46" i="54"/>
  <c r="L44" i="59"/>
  <c r="N40" i="59"/>
  <c r="Y40" i="59" s="1"/>
  <c r="L48" i="59"/>
  <c r="N48" i="59" s="1"/>
  <c r="Y48" i="59" s="1"/>
  <c r="Q18" i="64"/>
  <c r="Q18" i="65" s="1"/>
  <c r="Q18" i="66" s="1"/>
  <c r="W44" i="56"/>
  <c r="Y44" i="56" s="1"/>
  <c r="Q46" i="56"/>
  <c r="W46" i="56" s="1"/>
  <c r="Y46" i="56" s="1"/>
  <c r="P18" i="49"/>
  <c r="W18" i="48"/>
  <c r="G18" i="50"/>
  <c r="N18" i="49"/>
  <c r="N18" i="48"/>
  <c r="L46" i="59" l="1"/>
  <c r="N46" i="59" s="1"/>
  <c r="Y46" i="59" s="1"/>
  <c r="N44" i="59"/>
  <c r="Y44" i="59" s="1"/>
  <c r="Q18" i="67"/>
  <c r="Q18" i="68" s="1"/>
  <c r="Q65" i="66"/>
  <c r="C283" i="76" s="1"/>
  <c r="D282" i="75" s="1"/>
  <c r="W40" i="63"/>
  <c r="Y40" i="63" s="1"/>
  <c r="Q44" i="63"/>
  <c r="Q48" i="63"/>
  <c r="W48" i="63" s="1"/>
  <c r="Y48" i="63" s="1"/>
  <c r="G18" i="51"/>
  <c r="N18" i="50"/>
  <c r="W18" i="49"/>
  <c r="Y18" i="49" s="1"/>
  <c r="P18" i="50"/>
  <c r="Y18" i="48"/>
  <c r="Q18" i="69" l="1"/>
  <c r="Q44" i="66"/>
  <c r="W40" i="66"/>
  <c r="Y40" i="66" s="1"/>
  <c r="Q48" i="66"/>
  <c r="W48" i="66" s="1"/>
  <c r="Y48" i="66" s="1"/>
  <c r="W44" i="63"/>
  <c r="Y44" i="63" s="1"/>
  <c r="Q46" i="63"/>
  <c r="W46" i="63" s="1"/>
  <c r="Y46" i="63" s="1"/>
  <c r="G18" i="52"/>
  <c r="N18" i="51"/>
  <c r="P18" i="51"/>
  <c r="W18" i="50"/>
  <c r="Y18" i="50" s="1"/>
  <c r="W40" i="68" l="1"/>
  <c r="Y40" i="68" s="1"/>
  <c r="R44" i="68"/>
  <c r="R48" i="68"/>
  <c r="W48" i="68" s="1"/>
  <c r="Y48" i="68" s="1"/>
  <c r="W44" i="66"/>
  <c r="Y44" i="66" s="1"/>
  <c r="Q46" i="66"/>
  <c r="W46" i="66" s="1"/>
  <c r="Y46" i="66" s="1"/>
  <c r="Q18" i="70"/>
  <c r="Q18" i="71" s="1"/>
  <c r="T65" i="69"/>
  <c r="C328" i="76" s="1"/>
  <c r="D327" i="75" s="1"/>
  <c r="P18" i="52"/>
  <c r="W18" i="51"/>
  <c r="Y18" i="51" s="1"/>
  <c r="G18" i="53"/>
  <c r="N18" i="52"/>
  <c r="R46" i="68" l="1"/>
  <c r="W46" i="68" s="1"/>
  <c r="Y46" i="68" s="1"/>
  <c r="W44" i="68"/>
  <c r="Y44" i="68" s="1"/>
  <c r="T44" i="69"/>
  <c r="W40" i="69"/>
  <c r="Y40" i="69" s="1"/>
  <c r="T48" i="69"/>
  <c r="W48" i="69" s="1"/>
  <c r="Y48" i="69" s="1"/>
  <c r="Q18" i="72"/>
  <c r="N18" i="53"/>
  <c r="G18" i="54"/>
  <c r="P18" i="53"/>
  <c r="W18" i="52"/>
  <c r="Y18" i="52" s="1"/>
  <c r="N26" i="42"/>
  <c r="N27" i="42"/>
  <c r="L16" i="42"/>
  <c r="L16" i="48" s="1"/>
  <c r="L16" i="49" s="1"/>
  <c r="L16" i="50" s="1"/>
  <c r="L16" i="51" s="1"/>
  <c r="L16" i="52" s="1"/>
  <c r="L16" i="53" s="1"/>
  <c r="L16" i="54" s="1"/>
  <c r="L16" i="56" s="1"/>
  <c r="L16" i="57" s="1"/>
  <c r="L16" i="58" s="1"/>
  <c r="L16" i="59" s="1"/>
  <c r="L16" i="60" s="1"/>
  <c r="L16" i="61" s="1"/>
  <c r="L16" i="62" s="1"/>
  <c r="L16" i="63" s="1"/>
  <c r="L16" i="64" s="1"/>
  <c r="L16" i="65" s="1"/>
  <c r="L16" i="66" s="1"/>
  <c r="L16" i="67" s="1"/>
  <c r="L16" i="68" s="1"/>
  <c r="L16" i="69" s="1"/>
  <c r="L16" i="70" s="1"/>
  <c r="L16" i="71" s="1"/>
  <c r="L16" i="72" s="1"/>
  <c r="Q16" i="42"/>
  <c r="Q16" i="48" s="1"/>
  <c r="R15" i="42"/>
  <c r="R15" i="48" s="1"/>
  <c r="R15" i="49" s="1"/>
  <c r="R15" i="50" s="1"/>
  <c r="R15" i="51" s="1"/>
  <c r="R15" i="52" s="1"/>
  <c r="R15" i="53" s="1"/>
  <c r="R15" i="54" s="1"/>
  <c r="R15" i="56" s="1"/>
  <c r="R15" i="57" s="1"/>
  <c r="R15" i="58" s="1"/>
  <c r="R15" i="59" s="1"/>
  <c r="R15" i="60" s="1"/>
  <c r="R15" i="61" s="1"/>
  <c r="R15" i="62" s="1"/>
  <c r="R15" i="63" s="1"/>
  <c r="R15" i="64" s="1"/>
  <c r="R15" i="65" s="1"/>
  <c r="R15" i="66" s="1"/>
  <c r="R15" i="67" s="1"/>
  <c r="R15" i="68" s="1"/>
  <c r="R15" i="69" s="1"/>
  <c r="R15" i="70" s="1"/>
  <c r="R15" i="71" s="1"/>
  <c r="R15" i="72" s="1"/>
  <c r="V44" i="42"/>
  <c r="U44" i="42"/>
  <c r="T44" i="42"/>
  <c r="S44" i="42"/>
  <c r="R44" i="42"/>
  <c r="Q44" i="42"/>
  <c r="P44" i="42"/>
  <c r="M44" i="42"/>
  <c r="L44" i="42"/>
  <c r="K44" i="42"/>
  <c r="J44" i="42"/>
  <c r="I44" i="42"/>
  <c r="H44" i="42"/>
  <c r="G44" i="42"/>
  <c r="W42" i="42"/>
  <c r="N42" i="42"/>
  <c r="W41" i="42"/>
  <c r="N41" i="42"/>
  <c r="W40" i="42"/>
  <c r="N40" i="42"/>
  <c r="W39" i="42"/>
  <c r="N39" i="42"/>
  <c r="W38" i="42"/>
  <c r="N38" i="42"/>
  <c r="W37" i="42"/>
  <c r="N37" i="42"/>
  <c r="W36" i="42"/>
  <c r="N36" i="42"/>
  <c r="W35" i="42"/>
  <c r="N35" i="42"/>
  <c r="W34" i="42"/>
  <c r="N34" i="42"/>
  <c r="W33" i="42"/>
  <c r="N33" i="42"/>
  <c r="W32" i="42"/>
  <c r="N32" i="42"/>
  <c r="W28" i="42"/>
  <c r="N28" i="42"/>
  <c r="W27" i="42"/>
  <c r="Y27" i="42" s="1"/>
  <c r="R54" i="42" s="1"/>
  <c r="N8" i="36" s="1"/>
  <c r="W26" i="42"/>
  <c r="W25" i="42"/>
  <c r="N25" i="42"/>
  <c r="W18" i="42"/>
  <c r="N18" i="42"/>
  <c r="B16" i="42"/>
  <c r="V12" i="42"/>
  <c r="V24" i="42" s="1"/>
  <c r="U12" i="42"/>
  <c r="U24" i="42" s="1"/>
  <c r="U48" i="42" s="1"/>
  <c r="T12" i="42"/>
  <c r="T24" i="42" s="1"/>
  <c r="T48" i="42" s="1"/>
  <c r="S12" i="42"/>
  <c r="S24" i="42" s="1"/>
  <c r="S48" i="42" s="1"/>
  <c r="R12" i="42"/>
  <c r="R24" i="42" s="1"/>
  <c r="R48" i="42" s="1"/>
  <c r="Q12" i="42"/>
  <c r="Q24" i="42" s="1"/>
  <c r="Q48" i="42" s="1"/>
  <c r="P12" i="42"/>
  <c r="P24" i="42" s="1"/>
  <c r="P48" i="42" s="1"/>
  <c r="M12" i="42"/>
  <c r="M24" i="42" s="1"/>
  <c r="L12" i="42"/>
  <c r="L24" i="42" s="1"/>
  <c r="L48" i="42" s="1"/>
  <c r="K12" i="42"/>
  <c r="J12" i="42"/>
  <c r="I12" i="42"/>
  <c r="H12" i="42"/>
  <c r="G12" i="42"/>
  <c r="G24" i="42" s="1"/>
  <c r="G48" i="42" s="1"/>
  <c r="V2" i="42"/>
  <c r="U2" i="42"/>
  <c r="T2" i="42"/>
  <c r="S2" i="42"/>
  <c r="R2" i="42"/>
  <c r="Q2" i="42"/>
  <c r="P2" i="42"/>
  <c r="M2" i="42"/>
  <c r="L2" i="42"/>
  <c r="K2" i="42"/>
  <c r="J2" i="42"/>
  <c r="I2" i="42"/>
  <c r="H2" i="42"/>
  <c r="G2" i="42"/>
  <c r="V44" i="29"/>
  <c r="U44" i="29"/>
  <c r="T44" i="29"/>
  <c r="S44" i="29"/>
  <c r="R44" i="29"/>
  <c r="Q44" i="29"/>
  <c r="P44" i="29"/>
  <c r="W42" i="29"/>
  <c r="W41" i="29"/>
  <c r="W40" i="29"/>
  <c r="W39" i="29"/>
  <c r="W38" i="29"/>
  <c r="W37" i="29"/>
  <c r="W36" i="29"/>
  <c r="W35" i="29"/>
  <c r="W34" i="29"/>
  <c r="W33" i="29"/>
  <c r="W32" i="29"/>
  <c r="N41" i="29"/>
  <c r="N40" i="29"/>
  <c r="N39" i="29"/>
  <c r="N38" i="29"/>
  <c r="N37" i="29"/>
  <c r="N36" i="29"/>
  <c r="N35" i="29"/>
  <c r="N34" i="29"/>
  <c r="N33" i="29"/>
  <c r="N32" i="29"/>
  <c r="N42" i="29"/>
  <c r="W18" i="29"/>
  <c r="N18" i="29"/>
  <c r="C14" i="31"/>
  <c r="I24" i="42" l="1"/>
  <c r="I48" i="42" s="1"/>
  <c r="J24" i="42"/>
  <c r="J48" i="42" s="1"/>
  <c r="K24" i="42"/>
  <c r="K48" i="42" s="1"/>
  <c r="H24" i="42"/>
  <c r="N40" i="72"/>
  <c r="Y40" i="72" s="1"/>
  <c r="K44" i="72"/>
  <c r="K48" i="72"/>
  <c r="N48" i="72" s="1"/>
  <c r="Y48" i="72" s="1"/>
  <c r="W44" i="69"/>
  <c r="Y44" i="69" s="1"/>
  <c r="T46" i="69"/>
  <c r="W46" i="69" s="1"/>
  <c r="Y46" i="69" s="1"/>
  <c r="T44" i="71"/>
  <c r="W40" i="71"/>
  <c r="Y40" i="71" s="1"/>
  <c r="T48" i="71"/>
  <c r="W48" i="71" s="1"/>
  <c r="Y48" i="71" s="1"/>
  <c r="M48" i="42"/>
  <c r="M30" i="42"/>
  <c r="V48" i="42"/>
  <c r="V30" i="42"/>
  <c r="V65" i="42" s="1"/>
  <c r="C36" i="76" s="1"/>
  <c r="D35" i="75" s="1"/>
  <c r="G23" i="42"/>
  <c r="H23" i="42" s="1"/>
  <c r="I23" i="42" s="1"/>
  <c r="S16" i="42"/>
  <c r="N18" i="54"/>
  <c r="G18" i="56"/>
  <c r="Q16" i="49"/>
  <c r="G23" i="48"/>
  <c r="S16" i="48"/>
  <c r="P18" i="54"/>
  <c r="W18" i="53"/>
  <c r="Y18" i="53" s="1"/>
  <c r="Y33" i="42"/>
  <c r="S51" i="42" s="1"/>
  <c r="F8" i="36" s="1"/>
  <c r="Y34" i="42"/>
  <c r="Y36" i="42"/>
  <c r="S54" i="42" s="1"/>
  <c r="O8" i="36" s="1"/>
  <c r="Y37" i="42"/>
  <c r="S55" i="42" s="1"/>
  <c r="R8" i="36" s="1"/>
  <c r="Y38" i="42"/>
  <c r="S56" i="42" s="1"/>
  <c r="T8" i="36" s="1"/>
  <c r="Y35" i="42"/>
  <c r="S57" i="42" s="1"/>
  <c r="Y39" i="42"/>
  <c r="Y40" i="42"/>
  <c r="Y41" i="42"/>
  <c r="Y42" i="42"/>
  <c r="Y32" i="42"/>
  <c r="S53" i="42" s="1"/>
  <c r="L8" i="36" s="1"/>
  <c r="Y18" i="42"/>
  <c r="Y25" i="42"/>
  <c r="J30" i="42"/>
  <c r="J65" i="42" s="1"/>
  <c r="W24" i="42"/>
  <c r="W30" i="42" s="1"/>
  <c r="P30" i="42"/>
  <c r="L30" i="42"/>
  <c r="L65" i="42" s="1"/>
  <c r="R30" i="42"/>
  <c r="R46" i="42" s="1"/>
  <c r="T30" i="42"/>
  <c r="T65" i="42" s="1"/>
  <c r="G30" i="42"/>
  <c r="I30" i="42"/>
  <c r="I65" i="42" s="1"/>
  <c r="K30" i="42"/>
  <c r="K65" i="42" s="1"/>
  <c r="Q30" i="42"/>
  <c r="Q65" i="42" s="1"/>
  <c r="S30" i="42"/>
  <c r="S65" i="42" s="1"/>
  <c r="U30" i="42"/>
  <c r="U65" i="42" s="1"/>
  <c r="Y26" i="42"/>
  <c r="R53" i="42" s="1"/>
  <c r="K8" i="36" s="1"/>
  <c r="Y28" i="42"/>
  <c r="R55" i="42" s="1"/>
  <c r="Q8" i="36" s="1"/>
  <c r="N44" i="42"/>
  <c r="W44" i="42"/>
  <c r="W44" i="29"/>
  <c r="V12" i="29"/>
  <c r="V24" i="29" s="1"/>
  <c r="U12" i="29"/>
  <c r="U24" i="29" s="1"/>
  <c r="U48" i="29" s="1"/>
  <c r="T12" i="29"/>
  <c r="T24" i="29" s="1"/>
  <c r="T48" i="29" s="1"/>
  <c r="S12" i="29"/>
  <c r="S24" i="29" s="1"/>
  <c r="S48" i="29" s="1"/>
  <c r="R12" i="29"/>
  <c r="R24" i="29" s="1"/>
  <c r="R48" i="29" s="1"/>
  <c r="Q12" i="29"/>
  <c r="Q24" i="29" s="1"/>
  <c r="Q48" i="29" s="1"/>
  <c r="P12" i="29"/>
  <c r="P24" i="29" s="1"/>
  <c r="P48" i="29" s="1"/>
  <c r="H12" i="29"/>
  <c r="I12" i="29"/>
  <c r="J12" i="29"/>
  <c r="J24" i="29" s="1"/>
  <c r="J48" i="29" s="1"/>
  <c r="K12" i="29"/>
  <c r="K24" i="29" s="1"/>
  <c r="K48" i="29" s="1"/>
  <c r="L12" i="29"/>
  <c r="L24" i="29" s="1"/>
  <c r="L48" i="29" s="1"/>
  <c r="M12" i="29"/>
  <c r="M24" i="29" s="1"/>
  <c r="G12" i="29"/>
  <c r="G24" i="29" s="1"/>
  <c r="G48" i="29" s="1"/>
  <c r="N24" i="42" l="1"/>
  <c r="I24" i="29"/>
  <c r="I48" i="29" s="1"/>
  <c r="H30" i="42"/>
  <c r="H65" i="42" s="1"/>
  <c r="C24" i="76" s="1"/>
  <c r="D23" i="75" s="1"/>
  <c r="V46" i="42"/>
  <c r="H24" i="29"/>
  <c r="H30" i="29" s="1"/>
  <c r="H48" i="42"/>
  <c r="N48" i="42" s="1"/>
  <c r="P46" i="42"/>
  <c r="P65" i="42"/>
  <c r="C30" i="76" s="1"/>
  <c r="D29" i="75" s="1"/>
  <c r="G46" i="42"/>
  <c r="G65" i="42"/>
  <c r="C23" i="76" s="1"/>
  <c r="D22" i="75" s="1"/>
  <c r="M46" i="42"/>
  <c r="M65" i="42"/>
  <c r="C29" i="76" s="1"/>
  <c r="D28" i="75" s="1"/>
  <c r="R65" i="42"/>
  <c r="C32" i="76" s="1"/>
  <c r="D31" i="75" s="1"/>
  <c r="Q46" i="42"/>
  <c r="C31" i="76"/>
  <c r="D30" i="75" s="1"/>
  <c r="T46" i="42"/>
  <c r="C34" i="76"/>
  <c r="D33" i="75" s="1"/>
  <c r="U46" i="42"/>
  <c r="C35" i="76"/>
  <c r="D34" i="75" s="1"/>
  <c r="S46" i="42"/>
  <c r="C33" i="76"/>
  <c r="D32" i="75" s="1"/>
  <c r="H46" i="42"/>
  <c r="L46" i="42"/>
  <c r="C28" i="76"/>
  <c r="D27" i="75" s="1"/>
  <c r="J46" i="42"/>
  <c r="C26" i="76"/>
  <c r="D25" i="75" s="1"/>
  <c r="K46" i="42"/>
  <c r="C27" i="76"/>
  <c r="D26" i="75" s="1"/>
  <c r="I46" i="42"/>
  <c r="C25" i="76"/>
  <c r="D24" i="75" s="1"/>
  <c r="N44" i="72"/>
  <c r="Y44" i="72" s="1"/>
  <c r="K46" i="72"/>
  <c r="N46" i="72" s="1"/>
  <c r="Y46" i="72" s="1"/>
  <c r="W44" i="71"/>
  <c r="Y44" i="71" s="1"/>
  <c r="T46" i="71"/>
  <c r="W46" i="71" s="1"/>
  <c r="Y46" i="71" s="1"/>
  <c r="M30" i="29"/>
  <c r="M65" i="29" s="1"/>
  <c r="C15" i="76" s="1"/>
  <c r="D14" i="75" s="1"/>
  <c r="M48" i="29"/>
  <c r="V30" i="29"/>
  <c r="V48" i="29"/>
  <c r="W48" i="29" s="1"/>
  <c r="H3" i="42"/>
  <c r="G3" i="42"/>
  <c r="W18" i="54"/>
  <c r="Y18" i="54" s="1"/>
  <c r="P18" i="56"/>
  <c r="G18" i="57"/>
  <c r="N18" i="56"/>
  <c r="S16" i="49"/>
  <c r="Q16" i="50"/>
  <c r="G23" i="49"/>
  <c r="G3" i="48"/>
  <c r="H23" i="48"/>
  <c r="S52" i="42"/>
  <c r="I8" i="36" s="1"/>
  <c r="Y44" i="42"/>
  <c r="J23" i="42"/>
  <c r="I3" i="42"/>
  <c r="W48" i="42"/>
  <c r="N30" i="42"/>
  <c r="Y24" i="42"/>
  <c r="Y30" i="42" s="1"/>
  <c r="G44" i="29"/>
  <c r="H44" i="29"/>
  <c r="I44" i="29"/>
  <c r="J44" i="29"/>
  <c r="K44" i="29"/>
  <c r="L44" i="29"/>
  <c r="M44" i="29"/>
  <c r="U30" i="29"/>
  <c r="U65" i="29" s="1"/>
  <c r="T30" i="29"/>
  <c r="T65" i="29" s="1"/>
  <c r="S30" i="29"/>
  <c r="S65" i="29" s="1"/>
  <c r="R30" i="29"/>
  <c r="R65" i="29" s="1"/>
  <c r="Q30" i="29"/>
  <c r="P30" i="29"/>
  <c r="I30" i="29"/>
  <c r="J30" i="29"/>
  <c r="K30" i="29"/>
  <c r="L30" i="29"/>
  <c r="G30" i="29"/>
  <c r="G65" i="29" s="1"/>
  <c r="C9" i="76" s="1"/>
  <c r="W25" i="29"/>
  <c r="N25" i="29"/>
  <c r="H65" i="29" l="1"/>
  <c r="C10" i="76" s="1"/>
  <c r="E9" i="76"/>
  <c r="C8" i="75" s="1"/>
  <c r="D8" i="75"/>
  <c r="D9" i="76"/>
  <c r="E8" i="75" s="1"/>
  <c r="K65" i="29"/>
  <c r="C13" i="76" s="1"/>
  <c r="D12" i="75" s="1"/>
  <c r="H48" i="29"/>
  <c r="N48" i="29" s="1"/>
  <c r="L65" i="29"/>
  <c r="C14" i="76" s="1"/>
  <c r="D13" i="75" s="1"/>
  <c r="J65" i="29"/>
  <c r="C12" i="76" s="1"/>
  <c r="D11" i="75" s="1"/>
  <c r="I65" i="29"/>
  <c r="C11" i="76" s="1"/>
  <c r="D10" i="75" s="1"/>
  <c r="P46" i="29"/>
  <c r="P65" i="29"/>
  <c r="C16" i="76" s="1"/>
  <c r="D15" i="75" s="1"/>
  <c r="V46" i="29"/>
  <c r="V65" i="29"/>
  <c r="C22" i="76" s="1"/>
  <c r="D21" i="75" s="1"/>
  <c r="Q46" i="29"/>
  <c r="Q65" i="29"/>
  <c r="C17" i="76" s="1"/>
  <c r="D16" i="75" s="1"/>
  <c r="W46" i="42"/>
  <c r="N46" i="42"/>
  <c r="R46" i="29"/>
  <c r="C18" i="76"/>
  <c r="D17" i="75" s="1"/>
  <c r="S46" i="29"/>
  <c r="C19" i="76"/>
  <c r="D18" i="75" s="1"/>
  <c r="T46" i="29"/>
  <c r="C20" i="76"/>
  <c r="D19" i="75" s="1"/>
  <c r="U46" i="29"/>
  <c r="C21" i="76"/>
  <c r="D20" i="75" s="1"/>
  <c r="M46" i="29"/>
  <c r="K46" i="29"/>
  <c r="L46" i="29"/>
  <c r="J46" i="29"/>
  <c r="G46" i="29"/>
  <c r="G18" i="58"/>
  <c r="N18" i="57"/>
  <c r="W18" i="56"/>
  <c r="Y18" i="56" s="1"/>
  <c r="P18" i="57"/>
  <c r="I23" i="48"/>
  <c r="H3" i="48"/>
  <c r="H23" i="49"/>
  <c r="G3" i="49"/>
  <c r="Q16" i="51"/>
  <c r="G23" i="50"/>
  <c r="S16" i="50"/>
  <c r="Y48" i="42"/>
  <c r="K23" i="42"/>
  <c r="J3" i="42"/>
  <c r="N44" i="29"/>
  <c r="H46" i="29"/>
  <c r="I46" i="29"/>
  <c r="Y25" i="29"/>
  <c r="Y46" i="42" l="1"/>
  <c r="D9" i="75"/>
  <c r="E10" i="76"/>
  <c r="C9" i="75" s="1"/>
  <c r="D10" i="76"/>
  <c r="E9" i="75" s="1"/>
  <c r="W46" i="29"/>
  <c r="D11" i="76"/>
  <c r="E11" i="76"/>
  <c r="G18" i="59"/>
  <c r="N18" i="58"/>
  <c r="W18" i="57"/>
  <c r="Y18" i="57" s="1"/>
  <c r="P18" i="58"/>
  <c r="G23" i="51"/>
  <c r="Q16" i="52"/>
  <c r="S16" i="51"/>
  <c r="I23" i="49"/>
  <c r="H3" i="49"/>
  <c r="I3" i="48"/>
  <c r="J23" i="48"/>
  <c r="H23" i="50"/>
  <c r="G3" i="50"/>
  <c r="L23" i="42"/>
  <c r="K3" i="42"/>
  <c r="N46" i="29"/>
  <c r="Y46" i="29" l="1"/>
  <c r="E10" i="75"/>
  <c r="D12" i="76"/>
  <c r="C10" i="75"/>
  <c r="E12" i="76"/>
  <c r="G18" i="60"/>
  <c r="N18" i="59"/>
  <c r="P18" i="59"/>
  <c r="W18" i="58"/>
  <c r="Y18" i="58" s="1"/>
  <c r="I23" i="50"/>
  <c r="H3" i="50"/>
  <c r="I3" i="49"/>
  <c r="J23" i="49"/>
  <c r="K23" i="48"/>
  <c r="J3" i="48"/>
  <c r="H23" i="51"/>
  <c r="G3" i="51"/>
  <c r="G23" i="52"/>
  <c r="Q16" i="53"/>
  <c r="S16" i="52"/>
  <c r="M23" i="42"/>
  <c r="L3" i="42"/>
  <c r="P56" i="29"/>
  <c r="U5" i="36" s="1"/>
  <c r="P55" i="29"/>
  <c r="S5" i="36" s="1"/>
  <c r="P54" i="29"/>
  <c r="P5" i="36" s="1"/>
  <c r="P52" i="29"/>
  <c r="J5" i="36" s="1"/>
  <c r="P51" i="29"/>
  <c r="G5" i="36" s="1"/>
  <c r="P53" i="29"/>
  <c r="M5" i="36" s="1"/>
  <c r="E3" i="36"/>
  <c r="N27" i="29"/>
  <c r="W27" i="29"/>
  <c r="AC26" i="29"/>
  <c r="AC25" i="29"/>
  <c r="N28" i="29"/>
  <c r="W28" i="29"/>
  <c r="N26" i="29"/>
  <c r="W26" i="29"/>
  <c r="S16" i="29"/>
  <c r="B16" i="29"/>
  <c r="C7" i="36"/>
  <c r="C8" i="36" s="1"/>
  <c r="B8" i="36"/>
  <c r="B9" i="36" s="1"/>
  <c r="B10" i="36" s="1"/>
  <c r="B11" i="36" s="1"/>
  <c r="B12" i="36" s="1"/>
  <c r="B13" i="36" s="1"/>
  <c r="B14" i="36" s="1"/>
  <c r="B15" i="36" s="1"/>
  <c r="B16" i="36" s="1"/>
  <c r="B17" i="36" s="1"/>
  <c r="B18" i="36" s="1"/>
  <c r="B19" i="36" s="1"/>
  <c r="B20" i="36" s="1"/>
  <c r="B21" i="36" s="1"/>
  <c r="B22" i="36" s="1"/>
  <c r="B23" i="36" s="1"/>
  <c r="B24" i="36" s="1"/>
  <c r="B25" i="36" s="1"/>
  <c r="B26" i="36" s="1"/>
  <c r="B27" i="36" s="1"/>
  <c r="B28" i="36" s="1"/>
  <c r="B29" i="36" s="1"/>
  <c r="B30" i="36" s="1"/>
  <c r="B31" i="36" s="1"/>
  <c r="B32" i="36" s="1"/>
  <c r="G23" i="29"/>
  <c r="V2" i="29"/>
  <c r="U2" i="29"/>
  <c r="T2" i="29"/>
  <c r="S2" i="29"/>
  <c r="R2" i="29"/>
  <c r="Q2" i="29"/>
  <c r="P2" i="29"/>
  <c r="M2" i="29"/>
  <c r="L2" i="29"/>
  <c r="K2" i="29"/>
  <c r="J2" i="29"/>
  <c r="I2" i="29"/>
  <c r="H2" i="29"/>
  <c r="G2" i="29"/>
  <c r="H23" i="29" l="1"/>
  <c r="I23" i="29" s="1"/>
  <c r="J23" i="29" s="1"/>
  <c r="A9" i="76"/>
  <c r="C11" i="75"/>
  <c r="E13" i="76"/>
  <c r="E11" i="75"/>
  <c r="D13" i="76"/>
  <c r="P18" i="60"/>
  <c r="W18" i="59"/>
  <c r="Y18" i="59" s="1"/>
  <c r="G18" i="61"/>
  <c r="N18" i="60"/>
  <c r="Q16" i="54"/>
  <c r="Q16" i="56" s="1"/>
  <c r="G23" i="53"/>
  <c r="S16" i="53"/>
  <c r="H3" i="51"/>
  <c r="I23" i="51"/>
  <c r="K3" i="48"/>
  <c r="L23" i="48"/>
  <c r="I3" i="50"/>
  <c r="J23" i="50"/>
  <c r="H23" i="52"/>
  <c r="G3" i="52"/>
  <c r="K23" i="49"/>
  <c r="J3" i="49"/>
  <c r="P23" i="42"/>
  <c r="M3" i="42"/>
  <c r="Y44" i="29"/>
  <c r="Y42" i="29"/>
  <c r="AC38" i="29" s="1"/>
  <c r="Y39" i="29"/>
  <c r="Y41" i="29"/>
  <c r="Y28" i="29"/>
  <c r="R55" i="29" s="1"/>
  <c r="Y33" i="29"/>
  <c r="S51" i="29" s="1"/>
  <c r="F7" i="36" s="1"/>
  <c r="F33" i="36" s="1"/>
  <c r="Y18" i="29"/>
  <c r="Y32" i="29"/>
  <c r="S53" i="29" s="1"/>
  <c r="L7" i="36" s="1"/>
  <c r="L33" i="36" s="1"/>
  <c r="Y40" i="29"/>
  <c r="Y26" i="29"/>
  <c r="R53" i="29" s="1"/>
  <c r="K7" i="36" s="1"/>
  <c r="K33" i="36" s="1"/>
  <c r="Y34" i="29"/>
  <c r="Y27" i="29"/>
  <c r="R54" i="29" s="1"/>
  <c r="N7" i="36" s="1"/>
  <c r="N33" i="36" s="1"/>
  <c r="Y37" i="29"/>
  <c r="S55" i="29" s="1"/>
  <c r="R7" i="36" s="1"/>
  <c r="R33" i="36" s="1"/>
  <c r="Y35" i="29"/>
  <c r="S57" i="29" s="1"/>
  <c r="T57" i="29" s="1"/>
  <c r="AB35" i="29" s="1"/>
  <c r="Y38" i="29"/>
  <c r="S56" i="29" s="1"/>
  <c r="Y36" i="29"/>
  <c r="S54" i="29" s="1"/>
  <c r="O7" i="36" s="1"/>
  <c r="O33" i="36" s="1"/>
  <c r="V33" i="36"/>
  <c r="G3" i="29"/>
  <c r="N24" i="29"/>
  <c r="W24" i="29"/>
  <c r="C9" i="36"/>
  <c r="D7" i="36"/>
  <c r="H3" i="29" l="1"/>
  <c r="A10" i="76"/>
  <c r="B8" i="75"/>
  <c r="A8" i="75" s="1"/>
  <c r="E12" i="75"/>
  <c r="D14" i="76"/>
  <c r="C12" i="75"/>
  <c r="E14" i="76"/>
  <c r="T54" i="29"/>
  <c r="AB36" i="29" s="1"/>
  <c r="T55" i="29"/>
  <c r="AB37" i="29" s="1"/>
  <c r="Q7" i="36"/>
  <c r="Q33" i="36" s="1"/>
  <c r="AC39" i="29"/>
  <c r="R52" i="29" s="1"/>
  <c r="H7" i="36" s="1"/>
  <c r="AC35" i="42"/>
  <c r="AC36" i="42" s="1"/>
  <c r="AC37" i="42" s="1"/>
  <c r="T56" i="29"/>
  <c r="AB38" i="29" s="1"/>
  <c r="T7" i="36"/>
  <c r="T33" i="36" s="1"/>
  <c r="I3" i="29"/>
  <c r="G18" i="62"/>
  <c r="N18" i="61"/>
  <c r="W18" i="60"/>
  <c r="Y18" i="60" s="1"/>
  <c r="P18" i="61"/>
  <c r="G23" i="56"/>
  <c r="Q16" i="57"/>
  <c r="S16" i="56"/>
  <c r="L23" i="49"/>
  <c r="K3" i="49"/>
  <c r="H3" i="52"/>
  <c r="I23" i="52"/>
  <c r="G23" i="54"/>
  <c r="S16" i="54"/>
  <c r="K23" i="50"/>
  <c r="J3" i="50"/>
  <c r="L3" i="48"/>
  <c r="M23" i="48"/>
  <c r="I3" i="51"/>
  <c r="J23" i="51"/>
  <c r="H23" i="53"/>
  <c r="G3" i="53"/>
  <c r="P57" i="42"/>
  <c r="Q23" i="42"/>
  <c r="P3" i="42"/>
  <c r="S52" i="29"/>
  <c r="I7" i="36" s="1"/>
  <c r="I33" i="36" s="1"/>
  <c r="Y48" i="29"/>
  <c r="N30" i="29"/>
  <c r="W30" i="29"/>
  <c r="T53" i="29"/>
  <c r="Y24" i="29"/>
  <c r="J3" i="29"/>
  <c r="K23" i="29"/>
  <c r="A7" i="36"/>
  <c r="D8" i="36"/>
  <c r="C10" i="36"/>
  <c r="A11" i="76" l="1"/>
  <c r="B9" i="75"/>
  <c r="A9" i="75" s="1"/>
  <c r="C13" i="75"/>
  <c r="E15" i="76"/>
  <c r="E13" i="75"/>
  <c r="D15" i="76"/>
  <c r="P54" i="42"/>
  <c r="T54" i="42" s="1"/>
  <c r="P8" i="36" s="1"/>
  <c r="P7" i="36"/>
  <c r="U7" i="36"/>
  <c r="P56" i="42"/>
  <c r="T56" i="42" s="1"/>
  <c r="U8" i="36" s="1"/>
  <c r="AC35" i="48"/>
  <c r="AC36" i="48" s="1"/>
  <c r="AC37" i="48" s="1"/>
  <c r="AC38" i="42"/>
  <c r="R51" i="29"/>
  <c r="T51" i="29" s="1"/>
  <c r="AB33" i="29" s="1"/>
  <c r="S7" i="36"/>
  <c r="P55" i="42"/>
  <c r="T55" i="42" s="1"/>
  <c r="AB37" i="42" s="1"/>
  <c r="AD26" i="29"/>
  <c r="AC26" i="42" s="1"/>
  <c r="AD26" i="42" s="1"/>
  <c r="AC26" i="48" s="1"/>
  <c r="AD26" i="48" s="1"/>
  <c r="AD25" i="29"/>
  <c r="AB32" i="29"/>
  <c r="P53" i="42"/>
  <c r="H23" i="56"/>
  <c r="G3" i="56"/>
  <c r="G18" i="63"/>
  <c r="N18" i="62"/>
  <c r="G23" i="57"/>
  <c r="Q16" i="58"/>
  <c r="S16" i="57"/>
  <c r="W18" i="61"/>
  <c r="Y18" i="61" s="1"/>
  <c r="P18" i="62"/>
  <c r="K3" i="50"/>
  <c r="L23" i="50"/>
  <c r="G3" i="54"/>
  <c r="H23" i="54"/>
  <c r="L3" i="49"/>
  <c r="M23" i="49"/>
  <c r="I23" i="53"/>
  <c r="H3" i="53"/>
  <c r="K23" i="51"/>
  <c r="J3" i="51"/>
  <c r="P23" i="48"/>
  <c r="M3" i="48"/>
  <c r="I3" i="52"/>
  <c r="J23" i="52"/>
  <c r="T57" i="42"/>
  <c r="R23" i="42"/>
  <c r="Q3" i="42"/>
  <c r="T52" i="29"/>
  <c r="Y30" i="29"/>
  <c r="M7" i="36"/>
  <c r="L23" i="29"/>
  <c r="K3" i="29"/>
  <c r="C11" i="36"/>
  <c r="D9" i="36"/>
  <c r="A8" i="36"/>
  <c r="A12" i="76" l="1"/>
  <c r="B10" i="75"/>
  <c r="A10" i="75" s="1"/>
  <c r="D16" i="76"/>
  <c r="E14" i="75"/>
  <c r="C14" i="75"/>
  <c r="E16" i="76"/>
  <c r="S8" i="36"/>
  <c r="AB36" i="42"/>
  <c r="P54" i="48"/>
  <c r="T54" i="48" s="1"/>
  <c r="AB36" i="48" s="1"/>
  <c r="P55" i="48"/>
  <c r="T55" i="48" s="1"/>
  <c r="AB37" i="48" s="1"/>
  <c r="AB38" i="42"/>
  <c r="P56" i="48"/>
  <c r="T56" i="48" s="1"/>
  <c r="AB38" i="48" s="1"/>
  <c r="R51" i="42"/>
  <c r="E8" i="36" s="1"/>
  <c r="R52" i="42"/>
  <c r="H8" i="36" s="1"/>
  <c r="E7" i="36"/>
  <c r="AC38" i="48"/>
  <c r="AC35" i="49"/>
  <c r="AC36" i="49" s="1"/>
  <c r="AC37" i="49" s="1"/>
  <c r="AC26" i="49"/>
  <c r="AD26" i="49" s="1"/>
  <c r="G7" i="36"/>
  <c r="P51" i="42"/>
  <c r="P57" i="48"/>
  <c r="T57" i="48" s="1"/>
  <c r="AB35" i="42"/>
  <c r="J7" i="36"/>
  <c r="AB34" i="29"/>
  <c r="W18" i="62"/>
  <c r="Y18" i="62" s="1"/>
  <c r="P18" i="63"/>
  <c r="G3" i="57"/>
  <c r="H23" i="57"/>
  <c r="G18" i="64"/>
  <c r="N18" i="63"/>
  <c r="I23" i="56"/>
  <c r="H3" i="56"/>
  <c r="Q16" i="59"/>
  <c r="G23" i="58"/>
  <c r="S16" i="58"/>
  <c r="Q23" i="48"/>
  <c r="P3" i="48"/>
  <c r="L23" i="51"/>
  <c r="K3" i="51"/>
  <c r="J23" i="53"/>
  <c r="I3" i="53"/>
  <c r="M3" i="49"/>
  <c r="P23" i="49"/>
  <c r="H3" i="54"/>
  <c r="I23" i="54"/>
  <c r="M23" i="50"/>
  <c r="L3" i="50"/>
  <c r="K23" i="52"/>
  <c r="J3" i="52"/>
  <c r="T53" i="42"/>
  <c r="P53" i="48" s="1"/>
  <c r="AC25" i="42"/>
  <c r="AD25" i="42" s="1"/>
  <c r="P52" i="42"/>
  <c r="S23" i="42"/>
  <c r="R3" i="42"/>
  <c r="M23" i="29"/>
  <c r="L3" i="29"/>
  <c r="D10" i="36"/>
  <c r="A9" i="36"/>
  <c r="C12" i="36"/>
  <c r="A13" i="76" l="1"/>
  <c r="B11" i="75"/>
  <c r="A11" i="75" s="1"/>
  <c r="D17" i="76"/>
  <c r="E15" i="75"/>
  <c r="C15" i="75"/>
  <c r="E17" i="76"/>
  <c r="P9" i="36"/>
  <c r="P54" i="49"/>
  <c r="T54" i="49" s="1"/>
  <c r="AB36" i="49" s="1"/>
  <c r="S9" i="36"/>
  <c r="P55" i="49"/>
  <c r="T55" i="49" s="1"/>
  <c r="AB37" i="49" s="1"/>
  <c r="U9" i="36"/>
  <c r="P56" i="49"/>
  <c r="T56" i="49" s="1"/>
  <c r="AB38" i="49" s="1"/>
  <c r="T52" i="42"/>
  <c r="P52" i="48" s="1"/>
  <c r="AC35" i="50"/>
  <c r="AC36" i="50" s="1"/>
  <c r="AC37" i="50" s="1"/>
  <c r="AC38" i="49"/>
  <c r="R52" i="48"/>
  <c r="H9" i="36" s="1"/>
  <c r="R51" i="48"/>
  <c r="E9" i="36" s="1"/>
  <c r="T51" i="42"/>
  <c r="P51" i="48" s="1"/>
  <c r="AC26" i="50"/>
  <c r="AC25" i="48"/>
  <c r="AD25" i="48" s="1"/>
  <c r="P57" i="49"/>
  <c r="T57" i="49" s="1"/>
  <c r="AB35" i="48"/>
  <c r="T53" i="48"/>
  <c r="AB32" i="42"/>
  <c r="G23" i="59"/>
  <c r="Q16" i="60"/>
  <c r="S16" i="59"/>
  <c r="J23" i="56"/>
  <c r="I3" i="56"/>
  <c r="G18" i="65"/>
  <c r="N18" i="64"/>
  <c r="D11" i="36"/>
  <c r="A10" i="36"/>
  <c r="H23" i="58"/>
  <c r="G3" i="58"/>
  <c r="I23" i="57"/>
  <c r="H3" i="57"/>
  <c r="W18" i="63"/>
  <c r="Y18" i="63" s="1"/>
  <c r="P18" i="64"/>
  <c r="K3" i="52"/>
  <c r="L23" i="52"/>
  <c r="P23" i="50"/>
  <c r="M3" i="50"/>
  <c r="K23" i="53"/>
  <c r="J3" i="53"/>
  <c r="L3" i="51"/>
  <c r="M23" i="51"/>
  <c r="Q3" i="48"/>
  <c r="R23" i="48"/>
  <c r="J23" i="54"/>
  <c r="I3" i="54"/>
  <c r="Q23" i="49"/>
  <c r="P3" i="49"/>
  <c r="M8" i="36"/>
  <c r="T23" i="42"/>
  <c r="S3" i="42"/>
  <c r="P23" i="29"/>
  <c r="M3" i="29"/>
  <c r="C13" i="36"/>
  <c r="A14" i="76" l="1"/>
  <c r="B12" i="75"/>
  <c r="A12" i="75" s="1"/>
  <c r="C16" i="75"/>
  <c r="E18" i="76"/>
  <c r="D18" i="76"/>
  <c r="E16" i="75"/>
  <c r="P10" i="36"/>
  <c r="P55" i="50"/>
  <c r="T55" i="50" s="1"/>
  <c r="AB37" i="50" s="1"/>
  <c r="S10" i="36"/>
  <c r="P54" i="50"/>
  <c r="T54" i="50" s="1"/>
  <c r="AB36" i="50" s="1"/>
  <c r="P56" i="50"/>
  <c r="T56" i="50" s="1"/>
  <c r="AB38" i="50" s="1"/>
  <c r="U10" i="36"/>
  <c r="G8" i="36"/>
  <c r="AB33" i="42"/>
  <c r="T52" i="48"/>
  <c r="AB34" i="48" s="1"/>
  <c r="AB34" i="42"/>
  <c r="J8" i="36"/>
  <c r="T51" i="48"/>
  <c r="R51" i="49"/>
  <c r="E10" i="36" s="1"/>
  <c r="R52" i="49"/>
  <c r="H10" i="36" s="1"/>
  <c r="AC38" i="50"/>
  <c r="AC35" i="51"/>
  <c r="AC36" i="51" s="1"/>
  <c r="AC37" i="51" s="1"/>
  <c r="AB32" i="48"/>
  <c r="P53" i="49"/>
  <c r="T53" i="49" s="1"/>
  <c r="AD26" i="50"/>
  <c r="AC26" i="51" s="1"/>
  <c r="AD26" i="51" s="1"/>
  <c r="AC26" i="52" s="1"/>
  <c r="AD26" i="52" s="1"/>
  <c r="AC25" i="49"/>
  <c r="AD25" i="49" s="1"/>
  <c r="M9" i="36"/>
  <c r="P57" i="50"/>
  <c r="T57" i="50" s="1"/>
  <c r="AB35" i="49"/>
  <c r="D12" i="36"/>
  <c r="A11" i="36"/>
  <c r="W18" i="64"/>
  <c r="Y18" i="64" s="1"/>
  <c r="P18" i="65"/>
  <c r="H23" i="59"/>
  <c r="G3" i="59"/>
  <c r="J23" i="57"/>
  <c r="I3" i="57"/>
  <c r="H3" i="58"/>
  <c r="I23" i="58"/>
  <c r="G18" i="66"/>
  <c r="N18" i="65"/>
  <c r="J3" i="56"/>
  <c r="K23" i="56"/>
  <c r="G23" i="60"/>
  <c r="Q16" i="61"/>
  <c r="S16" i="60"/>
  <c r="Q3" i="49"/>
  <c r="R23" i="49"/>
  <c r="K23" i="54"/>
  <c r="J3" i="54"/>
  <c r="S23" i="48"/>
  <c r="R3" i="48"/>
  <c r="M3" i="51"/>
  <c r="P23" i="51"/>
  <c r="K3" i="53"/>
  <c r="L23" i="53"/>
  <c r="Q23" i="50"/>
  <c r="P3" i="50"/>
  <c r="L3" i="52"/>
  <c r="M23" i="52"/>
  <c r="U23" i="42"/>
  <c r="T3" i="42"/>
  <c r="P3" i="29"/>
  <c r="Q23" i="29"/>
  <c r="C14" i="36"/>
  <c r="A15" i="76" l="1"/>
  <c r="B13" i="75"/>
  <c r="A13" i="75" s="1"/>
  <c r="S11" i="36"/>
  <c r="P55" i="51"/>
  <c r="T55" i="51" s="1"/>
  <c r="AB37" i="51" s="1"/>
  <c r="D19" i="76"/>
  <c r="E17" i="75"/>
  <c r="C17" i="75"/>
  <c r="E19" i="76"/>
  <c r="P11" i="36"/>
  <c r="P54" i="51"/>
  <c r="T54" i="51" s="1"/>
  <c r="AB36" i="51" s="1"/>
  <c r="P52" i="49"/>
  <c r="T52" i="49" s="1"/>
  <c r="AB34" i="49" s="1"/>
  <c r="U11" i="36"/>
  <c r="J9" i="36"/>
  <c r="P56" i="51"/>
  <c r="T56" i="51" s="1"/>
  <c r="AB38" i="51" s="1"/>
  <c r="AB33" i="48"/>
  <c r="G9" i="36"/>
  <c r="P51" i="49"/>
  <c r="T51" i="49" s="1"/>
  <c r="R52" i="50"/>
  <c r="H11" i="36" s="1"/>
  <c r="R51" i="50"/>
  <c r="E11" i="36" s="1"/>
  <c r="AC35" i="52"/>
  <c r="AC36" i="52" s="1"/>
  <c r="AC37" i="52" s="1"/>
  <c r="AC38" i="51"/>
  <c r="AB32" i="49"/>
  <c r="P53" i="50"/>
  <c r="T53" i="50" s="1"/>
  <c r="AC25" i="50"/>
  <c r="M10" i="36"/>
  <c r="AC26" i="53"/>
  <c r="AD26" i="53" s="1"/>
  <c r="P57" i="51"/>
  <c r="T57" i="51" s="1"/>
  <c r="AB35" i="50"/>
  <c r="D13" i="36"/>
  <c r="A12" i="36"/>
  <c r="H23" i="60"/>
  <c r="G3" i="60"/>
  <c r="G18" i="67"/>
  <c r="N18" i="66"/>
  <c r="J3" i="57"/>
  <c r="K23" i="57"/>
  <c r="P18" i="66"/>
  <c r="W18" i="65"/>
  <c r="Y18" i="65" s="1"/>
  <c r="G23" i="61"/>
  <c r="Q16" i="62"/>
  <c r="S16" i="61"/>
  <c r="L23" i="56"/>
  <c r="K3" i="56"/>
  <c r="J23" i="58"/>
  <c r="I3" i="58"/>
  <c r="I23" i="59"/>
  <c r="H3" i="59"/>
  <c r="M3" i="52"/>
  <c r="P23" i="52"/>
  <c r="M23" i="53"/>
  <c r="L3" i="53"/>
  <c r="S3" i="48"/>
  <c r="T23" i="48"/>
  <c r="L23" i="54"/>
  <c r="K3" i="54"/>
  <c r="Q3" i="50"/>
  <c r="R23" i="50"/>
  <c r="Q23" i="51"/>
  <c r="P3" i="51"/>
  <c r="S23" i="49"/>
  <c r="R3" i="49"/>
  <c r="V23" i="42"/>
  <c r="V3" i="42" s="1"/>
  <c r="U3" i="42"/>
  <c r="Q3" i="29"/>
  <c r="R23" i="29"/>
  <c r="C15" i="36"/>
  <c r="P55" i="52" l="1"/>
  <c r="T55" i="52" s="1"/>
  <c r="AB37" i="52" s="1"/>
  <c r="A16" i="76"/>
  <c r="B14" i="75"/>
  <c r="A14" i="75" s="1"/>
  <c r="S12" i="36"/>
  <c r="C18" i="75"/>
  <c r="E20" i="76"/>
  <c r="E18" i="75"/>
  <c r="D20" i="76"/>
  <c r="P12" i="36"/>
  <c r="P54" i="52"/>
  <c r="T54" i="52" s="1"/>
  <c r="AB36" i="52" s="1"/>
  <c r="P52" i="50"/>
  <c r="T52" i="50" s="1"/>
  <c r="AB34" i="50" s="1"/>
  <c r="J10" i="36"/>
  <c r="P56" i="52"/>
  <c r="T56" i="52" s="1"/>
  <c r="AB38" i="52" s="1"/>
  <c r="U12" i="36"/>
  <c r="AB33" i="49"/>
  <c r="P51" i="50"/>
  <c r="T51" i="50" s="1"/>
  <c r="G10" i="36"/>
  <c r="AC35" i="53"/>
  <c r="AC36" i="53" s="1"/>
  <c r="AC37" i="53" s="1"/>
  <c r="AC38" i="52"/>
  <c r="R52" i="51"/>
  <c r="H12" i="36" s="1"/>
  <c r="R51" i="51"/>
  <c r="E12" i="36" s="1"/>
  <c r="AB32" i="50"/>
  <c r="P53" i="51"/>
  <c r="T53" i="51" s="1"/>
  <c r="AD25" i="50"/>
  <c r="AC25" i="51" s="1"/>
  <c r="AD25" i="51" s="1"/>
  <c r="AC25" i="52" s="1"/>
  <c r="AD25" i="52" s="1"/>
  <c r="M11" i="36"/>
  <c r="AC26" i="54"/>
  <c r="AD26" i="54" s="1"/>
  <c r="S13" i="36"/>
  <c r="P55" i="53"/>
  <c r="T55" i="53" s="1"/>
  <c r="AB37" i="53" s="1"/>
  <c r="D14" i="36"/>
  <c r="A13" i="36"/>
  <c r="P57" i="52"/>
  <c r="T57" i="52" s="1"/>
  <c r="AB35" i="51"/>
  <c r="G3" i="61"/>
  <c r="H23" i="61"/>
  <c r="P18" i="67"/>
  <c r="W18" i="66"/>
  <c r="Y18" i="66" s="1"/>
  <c r="G18" i="68"/>
  <c r="N18" i="67"/>
  <c r="H3" i="60"/>
  <c r="I23" i="60"/>
  <c r="I3" i="59"/>
  <c r="J23" i="59"/>
  <c r="J3" i="58"/>
  <c r="K23" i="58"/>
  <c r="L3" i="56"/>
  <c r="M23" i="56"/>
  <c r="G23" i="62"/>
  <c r="Q16" i="63"/>
  <c r="S16" i="62"/>
  <c r="L23" i="57"/>
  <c r="K3" i="57"/>
  <c r="S3" i="49"/>
  <c r="T23" i="49"/>
  <c r="L3" i="54"/>
  <c r="M23" i="54"/>
  <c r="M3" i="53"/>
  <c r="P23" i="53"/>
  <c r="Q3" i="51"/>
  <c r="R23" i="51"/>
  <c r="S23" i="50"/>
  <c r="R3" i="50"/>
  <c r="T3" i="48"/>
  <c r="U23" i="48"/>
  <c r="Q23" i="52"/>
  <c r="P3" i="52"/>
  <c r="S23" i="29"/>
  <c r="R3" i="29"/>
  <c r="C16" i="36"/>
  <c r="A17" i="76" l="1"/>
  <c r="B15" i="75"/>
  <c r="A15" i="75" s="1"/>
  <c r="P13" i="36"/>
  <c r="E19" i="75"/>
  <c r="D21" i="76"/>
  <c r="E21" i="76"/>
  <c r="C19" i="75"/>
  <c r="P54" i="53"/>
  <c r="T54" i="53" s="1"/>
  <c r="AB36" i="53" s="1"/>
  <c r="P52" i="51"/>
  <c r="T52" i="51" s="1"/>
  <c r="AB34" i="51" s="1"/>
  <c r="P56" i="53"/>
  <c r="T56" i="53" s="1"/>
  <c r="AB38" i="53" s="1"/>
  <c r="J11" i="36"/>
  <c r="U13" i="36"/>
  <c r="R51" i="52"/>
  <c r="E13" i="36" s="1"/>
  <c r="R52" i="52"/>
  <c r="H13" i="36" s="1"/>
  <c r="AB33" i="50"/>
  <c r="G11" i="36"/>
  <c r="P51" i="51"/>
  <c r="T51" i="51" s="1"/>
  <c r="AC35" i="54"/>
  <c r="AC36" i="54" s="1"/>
  <c r="AC37" i="54" s="1"/>
  <c r="AC38" i="53"/>
  <c r="AB32" i="51"/>
  <c r="P53" i="52"/>
  <c r="T53" i="52" s="1"/>
  <c r="P55" i="54"/>
  <c r="T55" i="54" s="1"/>
  <c r="AB37" i="54" s="1"/>
  <c r="M12" i="36"/>
  <c r="AC26" i="56"/>
  <c r="AD26" i="56" s="1"/>
  <c r="AC25" i="53"/>
  <c r="AD25" i="53" s="1"/>
  <c r="S14" i="36"/>
  <c r="D15" i="36"/>
  <c r="D16" i="36" s="1"/>
  <c r="A14" i="36"/>
  <c r="P57" i="53"/>
  <c r="T57" i="53" s="1"/>
  <c r="AB35" i="52"/>
  <c r="H23" i="62"/>
  <c r="G3" i="62"/>
  <c r="J23" i="60"/>
  <c r="I3" i="60"/>
  <c r="L3" i="57"/>
  <c r="M23" i="57"/>
  <c r="G23" i="63"/>
  <c r="Q16" i="64"/>
  <c r="S16" i="63"/>
  <c r="P23" i="56"/>
  <c r="M3" i="56"/>
  <c r="L23" i="58"/>
  <c r="K3" i="58"/>
  <c r="J3" i="59"/>
  <c r="K23" i="59"/>
  <c r="N18" i="68"/>
  <c r="G18" i="69"/>
  <c r="P18" i="68"/>
  <c r="W18" i="67"/>
  <c r="Y18" i="67" s="1"/>
  <c r="I23" i="61"/>
  <c r="H3" i="61"/>
  <c r="U3" i="48"/>
  <c r="V23" i="48"/>
  <c r="V3" i="48" s="1"/>
  <c r="Q3" i="52"/>
  <c r="R23" i="52"/>
  <c r="S3" i="50"/>
  <c r="T23" i="50"/>
  <c r="S23" i="51"/>
  <c r="R3" i="51"/>
  <c r="Q23" i="53"/>
  <c r="P3" i="53"/>
  <c r="M3" i="54"/>
  <c r="P23" i="54"/>
  <c r="U23" i="49"/>
  <c r="T3" i="49"/>
  <c r="T23" i="29"/>
  <c r="S3" i="29"/>
  <c r="C17" i="36"/>
  <c r="A18" i="76" l="1"/>
  <c r="B16" i="75"/>
  <c r="A16" i="75" s="1"/>
  <c r="P54" i="54"/>
  <c r="T54" i="54" s="1"/>
  <c r="AB36" i="54" s="1"/>
  <c r="P14" i="36"/>
  <c r="C20" i="75"/>
  <c r="E22" i="76"/>
  <c r="D22" i="76"/>
  <c r="E20" i="75"/>
  <c r="P52" i="52"/>
  <c r="T52" i="52" s="1"/>
  <c r="AB34" i="52" s="1"/>
  <c r="P56" i="54"/>
  <c r="T56" i="54" s="1"/>
  <c r="AB38" i="54" s="1"/>
  <c r="J12" i="36"/>
  <c r="U14" i="36"/>
  <c r="AC35" i="56"/>
  <c r="AC36" i="56" s="1"/>
  <c r="AC37" i="56" s="1"/>
  <c r="AC35" i="57" s="1"/>
  <c r="AC36" i="57" s="1"/>
  <c r="AC37" i="57" s="1"/>
  <c r="AC38" i="54"/>
  <c r="R52" i="53"/>
  <c r="H14" i="36" s="1"/>
  <c r="R51" i="53"/>
  <c r="E14" i="36" s="1"/>
  <c r="AB33" i="51"/>
  <c r="G12" i="36"/>
  <c r="P51" i="52"/>
  <c r="T51" i="52" s="1"/>
  <c r="AB32" i="52"/>
  <c r="P53" i="53"/>
  <c r="T53" i="53" s="1"/>
  <c r="M13" i="36"/>
  <c r="P55" i="56"/>
  <c r="T55" i="56" s="1"/>
  <c r="AB37" i="56" s="1"/>
  <c r="S15" i="36"/>
  <c r="AC26" i="57"/>
  <c r="AD26" i="57" s="1"/>
  <c r="AC25" i="54"/>
  <c r="AD25" i="54" s="1"/>
  <c r="A15" i="36"/>
  <c r="P57" i="54"/>
  <c r="T57" i="54" s="1"/>
  <c r="AB35" i="53"/>
  <c r="I3" i="61"/>
  <c r="J23" i="61"/>
  <c r="P18" i="69"/>
  <c r="W18" i="68"/>
  <c r="Y18" i="68" s="1"/>
  <c r="L3" i="58"/>
  <c r="M23" i="58"/>
  <c r="P3" i="56"/>
  <c r="Q23" i="56"/>
  <c r="G23" i="64"/>
  <c r="Q16" i="65"/>
  <c r="S16" i="64"/>
  <c r="P23" i="57"/>
  <c r="M3" i="57"/>
  <c r="J3" i="60"/>
  <c r="K23" i="60"/>
  <c r="I23" i="62"/>
  <c r="H3" i="62"/>
  <c r="N18" i="69"/>
  <c r="G18" i="70"/>
  <c r="L23" i="59"/>
  <c r="K3" i="59"/>
  <c r="G3" i="63"/>
  <c r="H23" i="63"/>
  <c r="U3" i="49"/>
  <c r="V23" i="49"/>
  <c r="V3" i="49" s="1"/>
  <c r="Q3" i="53"/>
  <c r="R23" i="53"/>
  <c r="S3" i="51"/>
  <c r="T23" i="51"/>
  <c r="Q23" i="54"/>
  <c r="P3" i="54"/>
  <c r="T3" i="50"/>
  <c r="U23" i="50"/>
  <c r="S23" i="52"/>
  <c r="R3" i="52"/>
  <c r="T3" i="29"/>
  <c r="U23" i="29"/>
  <c r="C18" i="36"/>
  <c r="A19" i="76" l="1"/>
  <c r="B17" i="75"/>
  <c r="A17" i="75" s="1"/>
  <c r="P15" i="36"/>
  <c r="P54" i="56"/>
  <c r="T54" i="56" s="1"/>
  <c r="AB36" i="56" s="1"/>
  <c r="D23" i="76"/>
  <c r="E21" i="75"/>
  <c r="C21" i="75"/>
  <c r="E23" i="76"/>
  <c r="U15" i="36"/>
  <c r="P56" i="56"/>
  <c r="T56" i="56" s="1"/>
  <c r="AB38" i="56" s="1"/>
  <c r="J13" i="36"/>
  <c r="P52" i="53"/>
  <c r="T52" i="53" s="1"/>
  <c r="AB34" i="53" s="1"/>
  <c r="R52" i="54"/>
  <c r="H15" i="36" s="1"/>
  <c r="R51" i="54"/>
  <c r="E15" i="36" s="1"/>
  <c r="AC38" i="56"/>
  <c r="R51" i="56" s="1"/>
  <c r="E16" i="36" s="1"/>
  <c r="AB33" i="52"/>
  <c r="G13" i="36"/>
  <c r="P51" i="53"/>
  <c r="T51" i="53" s="1"/>
  <c r="AB32" i="53"/>
  <c r="P53" i="54"/>
  <c r="T53" i="54" s="1"/>
  <c r="P55" i="57"/>
  <c r="T55" i="57" s="1"/>
  <c r="AB37" i="57" s="1"/>
  <c r="S16" i="36"/>
  <c r="M14" i="36"/>
  <c r="AC26" i="58"/>
  <c r="AD26" i="58" s="1"/>
  <c r="AC25" i="56"/>
  <c r="AD25" i="56" s="1"/>
  <c r="AC38" i="57"/>
  <c r="AC35" i="58"/>
  <c r="AC36" i="58" s="1"/>
  <c r="AC37" i="58" s="1"/>
  <c r="D17" i="36"/>
  <c r="A16" i="36"/>
  <c r="P57" i="56"/>
  <c r="T57" i="56" s="1"/>
  <c r="AB35" i="54"/>
  <c r="I23" i="63"/>
  <c r="H3" i="63"/>
  <c r="L3" i="59"/>
  <c r="M23" i="59"/>
  <c r="J23" i="62"/>
  <c r="I3" i="62"/>
  <c r="H23" i="64"/>
  <c r="G3" i="64"/>
  <c r="P18" i="70"/>
  <c r="W18" i="69"/>
  <c r="Y18" i="69" s="1"/>
  <c r="N18" i="70"/>
  <c r="G18" i="71"/>
  <c r="L23" i="60"/>
  <c r="K3" i="60"/>
  <c r="P3" i="57"/>
  <c r="Q23" i="57"/>
  <c r="Q16" i="66"/>
  <c r="G23" i="65"/>
  <c r="S16" i="65"/>
  <c r="R23" i="56"/>
  <c r="Q3" i="56"/>
  <c r="P23" i="58"/>
  <c r="M3" i="58"/>
  <c r="J3" i="61"/>
  <c r="K23" i="61"/>
  <c r="S3" i="52"/>
  <c r="T23" i="52"/>
  <c r="Q3" i="54"/>
  <c r="R23" i="54"/>
  <c r="U3" i="50"/>
  <c r="V23" i="50"/>
  <c r="V3" i="50" s="1"/>
  <c r="U23" i="51"/>
  <c r="T3" i="51"/>
  <c r="S23" i="53"/>
  <c r="R3" i="53"/>
  <c r="V23" i="29"/>
  <c r="V3" i="29" s="1"/>
  <c r="U3" i="29"/>
  <c r="C19" i="36"/>
  <c r="A20" i="76" l="1"/>
  <c r="B18" i="75"/>
  <c r="A18" i="75" s="1"/>
  <c r="P16" i="36"/>
  <c r="P54" i="57"/>
  <c r="T54" i="57" s="1"/>
  <c r="AB36" i="57" s="1"/>
  <c r="C22" i="75"/>
  <c r="E24" i="76"/>
  <c r="D24" i="76"/>
  <c r="E22" i="75"/>
  <c r="U16" i="36"/>
  <c r="R52" i="56"/>
  <c r="H16" i="36" s="1"/>
  <c r="P56" i="57"/>
  <c r="T56" i="57" s="1"/>
  <c r="AB38" i="57" s="1"/>
  <c r="J14" i="36"/>
  <c r="P52" i="54"/>
  <c r="T52" i="54" s="1"/>
  <c r="AB34" i="54" s="1"/>
  <c r="AB33" i="53"/>
  <c r="G14" i="36"/>
  <c r="P51" i="54"/>
  <c r="T51" i="54" s="1"/>
  <c r="AB32" i="54"/>
  <c r="P53" i="56"/>
  <c r="T53" i="56" s="1"/>
  <c r="P55" i="58"/>
  <c r="T55" i="58" s="1"/>
  <c r="AB37" i="58" s="1"/>
  <c r="S17" i="36"/>
  <c r="M15" i="36"/>
  <c r="AC26" i="59"/>
  <c r="AD26" i="59" s="1"/>
  <c r="AC25" i="57"/>
  <c r="AD25" i="57" s="1"/>
  <c r="R51" i="57"/>
  <c r="E17" i="36" s="1"/>
  <c r="R52" i="57"/>
  <c r="H17" i="36" s="1"/>
  <c r="AC38" i="58"/>
  <c r="AC35" i="59"/>
  <c r="AC36" i="59" s="1"/>
  <c r="AC37" i="59" s="1"/>
  <c r="D18" i="36"/>
  <c r="A17" i="36"/>
  <c r="P57" i="57"/>
  <c r="T57" i="57" s="1"/>
  <c r="AB35" i="56"/>
  <c r="P3" i="58"/>
  <c r="Q23" i="58"/>
  <c r="R3" i="56"/>
  <c r="S23" i="56"/>
  <c r="G3" i="65"/>
  <c r="H23" i="65"/>
  <c r="R23" i="57"/>
  <c r="Q3" i="57"/>
  <c r="L3" i="60"/>
  <c r="M23" i="60"/>
  <c r="P18" i="71"/>
  <c r="W18" i="70"/>
  <c r="Y18" i="70" s="1"/>
  <c r="H3" i="64"/>
  <c r="I23" i="64"/>
  <c r="J3" i="62"/>
  <c r="K23" i="62"/>
  <c r="I3" i="63"/>
  <c r="J23" i="63"/>
  <c r="L23" i="61"/>
  <c r="K3" i="61"/>
  <c r="Q16" i="67"/>
  <c r="G23" i="66"/>
  <c r="S16" i="66"/>
  <c r="N18" i="71"/>
  <c r="G18" i="72"/>
  <c r="P23" i="59"/>
  <c r="M3" i="59"/>
  <c r="S3" i="53"/>
  <c r="T23" i="53"/>
  <c r="U3" i="51"/>
  <c r="V23" i="51"/>
  <c r="V3" i="51" s="1"/>
  <c r="S23" i="54"/>
  <c r="R3" i="54"/>
  <c r="T3" i="52"/>
  <c r="U23" i="52"/>
  <c r="C20" i="36"/>
  <c r="A21" i="76" l="1"/>
  <c r="B19" i="75"/>
  <c r="A19" i="75" s="1"/>
  <c r="P54" i="58"/>
  <c r="T54" i="58" s="1"/>
  <c r="AB36" i="58" s="1"/>
  <c r="P17" i="36"/>
  <c r="E23" i="75"/>
  <c r="D25" i="76"/>
  <c r="C23" i="75"/>
  <c r="E25" i="76"/>
  <c r="P56" i="58"/>
  <c r="T56" i="58" s="1"/>
  <c r="AB38" i="58" s="1"/>
  <c r="U17" i="36"/>
  <c r="P52" i="56"/>
  <c r="T52" i="56" s="1"/>
  <c r="AB34" i="56" s="1"/>
  <c r="J15" i="36"/>
  <c r="AB33" i="54"/>
  <c r="G15" i="36"/>
  <c r="P51" i="56"/>
  <c r="T51" i="56" s="1"/>
  <c r="P51" i="57" s="1"/>
  <c r="T51" i="57" s="1"/>
  <c r="AB32" i="56"/>
  <c r="P53" i="57"/>
  <c r="T53" i="57" s="1"/>
  <c r="S18" i="36"/>
  <c r="P55" i="59"/>
  <c r="T55" i="59" s="1"/>
  <c r="AB37" i="59" s="1"/>
  <c r="M16" i="36"/>
  <c r="AC26" i="60"/>
  <c r="AD26" i="60" s="1"/>
  <c r="AC25" i="58"/>
  <c r="AD25" i="58" s="1"/>
  <c r="R51" i="58"/>
  <c r="E18" i="36" s="1"/>
  <c r="R52" i="58"/>
  <c r="H18" i="36" s="1"/>
  <c r="AC38" i="59"/>
  <c r="AC35" i="60"/>
  <c r="AC36" i="60" s="1"/>
  <c r="AC37" i="60" s="1"/>
  <c r="D19" i="36"/>
  <c r="A18" i="36"/>
  <c r="P57" i="58"/>
  <c r="T57" i="58" s="1"/>
  <c r="AB35" i="57"/>
  <c r="P3" i="59"/>
  <c r="Q23" i="59"/>
  <c r="H23" i="66"/>
  <c r="G3" i="66"/>
  <c r="J3" i="63"/>
  <c r="K23" i="63"/>
  <c r="L23" i="62"/>
  <c r="K3" i="62"/>
  <c r="J23" i="64"/>
  <c r="I3" i="64"/>
  <c r="P23" i="60"/>
  <c r="M3" i="60"/>
  <c r="R3" i="57"/>
  <c r="S23" i="57"/>
  <c r="N18" i="72"/>
  <c r="Q16" i="68"/>
  <c r="G23" i="67"/>
  <c r="S16" i="67"/>
  <c r="L3" i="61"/>
  <c r="M23" i="61"/>
  <c r="P18" i="72"/>
  <c r="W18" i="71"/>
  <c r="Y18" i="71" s="1"/>
  <c r="H3" i="65"/>
  <c r="I23" i="65"/>
  <c r="S3" i="56"/>
  <c r="T23" i="56"/>
  <c r="R23" i="58"/>
  <c r="Q3" i="58"/>
  <c r="S3" i="54"/>
  <c r="T23" i="54"/>
  <c r="U3" i="52"/>
  <c r="V23" i="52"/>
  <c r="V3" i="52" s="1"/>
  <c r="T3" i="53"/>
  <c r="U23" i="53"/>
  <c r="C21" i="36"/>
  <c r="A22" i="76" l="1"/>
  <c r="B20" i="75"/>
  <c r="A20" i="75" s="1"/>
  <c r="P54" i="59"/>
  <c r="T54" i="59" s="1"/>
  <c r="AB36" i="59" s="1"/>
  <c r="P18" i="36"/>
  <c r="C24" i="75"/>
  <c r="E26" i="76"/>
  <c r="E24" i="75"/>
  <c r="D26" i="76"/>
  <c r="U18" i="36"/>
  <c r="P56" i="59"/>
  <c r="T56" i="59" s="1"/>
  <c r="AB38" i="59" s="1"/>
  <c r="G16" i="36"/>
  <c r="AB33" i="56"/>
  <c r="J16" i="36"/>
  <c r="P52" i="57"/>
  <c r="T52" i="57" s="1"/>
  <c r="AB34" i="57" s="1"/>
  <c r="AB32" i="57"/>
  <c r="P53" i="58"/>
  <c r="T53" i="58" s="1"/>
  <c r="S19" i="36"/>
  <c r="P55" i="60"/>
  <c r="T55" i="60" s="1"/>
  <c r="AB37" i="60" s="1"/>
  <c r="M17" i="36"/>
  <c r="AC26" i="61"/>
  <c r="AD26" i="61" s="1"/>
  <c r="AC25" i="59"/>
  <c r="AD25" i="59" s="1"/>
  <c r="AB33" i="57"/>
  <c r="P51" i="58"/>
  <c r="T51" i="58" s="1"/>
  <c r="G17" i="36"/>
  <c r="R52" i="59"/>
  <c r="H19" i="36" s="1"/>
  <c r="R51" i="59"/>
  <c r="E19" i="36" s="1"/>
  <c r="AC38" i="60"/>
  <c r="AC35" i="61"/>
  <c r="AC36" i="61" s="1"/>
  <c r="AC37" i="61" s="1"/>
  <c r="D20" i="36"/>
  <c r="A19" i="36"/>
  <c r="P57" i="59"/>
  <c r="T57" i="59" s="1"/>
  <c r="AB35" i="58"/>
  <c r="R3" i="58"/>
  <c r="S23" i="58"/>
  <c r="W18" i="72"/>
  <c r="Y18" i="72" s="1"/>
  <c r="H23" i="67"/>
  <c r="G3" i="67"/>
  <c r="S3" i="57"/>
  <c r="T23" i="57"/>
  <c r="P3" i="60"/>
  <c r="Q23" i="60"/>
  <c r="J3" i="64"/>
  <c r="K23" i="64"/>
  <c r="L3" i="62"/>
  <c r="M23" i="62"/>
  <c r="I23" i="66"/>
  <c r="H3" i="66"/>
  <c r="U23" i="56"/>
  <c r="T3" i="56"/>
  <c r="J23" i="65"/>
  <c r="I3" i="65"/>
  <c r="P23" i="61"/>
  <c r="M3" i="61"/>
  <c r="Q16" i="69"/>
  <c r="G23" i="68"/>
  <c r="S16" i="68"/>
  <c r="L23" i="63"/>
  <c r="K3" i="63"/>
  <c r="R23" i="59"/>
  <c r="Q3" i="59"/>
  <c r="U3" i="53"/>
  <c r="V23" i="53"/>
  <c r="V3" i="53" s="1"/>
  <c r="U23" i="54"/>
  <c r="T3" i="54"/>
  <c r="C22" i="36"/>
  <c r="A23" i="76" l="1"/>
  <c r="B21" i="75"/>
  <c r="A21" i="75" s="1"/>
  <c r="P19" i="36"/>
  <c r="P54" i="60"/>
  <c r="T54" i="60" s="1"/>
  <c r="AB36" i="60" s="1"/>
  <c r="E25" i="75"/>
  <c r="D27" i="76"/>
  <c r="C25" i="75"/>
  <c r="E27" i="76"/>
  <c r="U19" i="36"/>
  <c r="P56" i="60"/>
  <c r="T56" i="60" s="1"/>
  <c r="AB38" i="60" s="1"/>
  <c r="J17" i="36"/>
  <c r="P52" i="58"/>
  <c r="T52" i="58" s="1"/>
  <c r="AB34" i="58" s="1"/>
  <c r="AB32" i="58"/>
  <c r="P53" i="59"/>
  <c r="T53" i="59" s="1"/>
  <c r="P55" i="61"/>
  <c r="T55" i="61" s="1"/>
  <c r="AB37" i="61" s="1"/>
  <c r="S20" i="36"/>
  <c r="M18" i="36"/>
  <c r="AC26" i="62"/>
  <c r="AD26" i="62" s="1"/>
  <c r="AC25" i="60"/>
  <c r="AD25" i="60" s="1"/>
  <c r="AC38" i="61"/>
  <c r="AC35" i="62"/>
  <c r="AC36" i="62" s="1"/>
  <c r="AC37" i="62" s="1"/>
  <c r="AB33" i="58"/>
  <c r="P51" i="59"/>
  <c r="T51" i="59" s="1"/>
  <c r="G18" i="36"/>
  <c r="R51" i="60"/>
  <c r="E20" i="36" s="1"/>
  <c r="R52" i="60"/>
  <c r="H20" i="36" s="1"/>
  <c r="D21" i="36"/>
  <c r="A20" i="36"/>
  <c r="P57" i="60"/>
  <c r="T57" i="60" s="1"/>
  <c r="AB35" i="59"/>
  <c r="R3" i="59"/>
  <c r="S23" i="59"/>
  <c r="L3" i="63"/>
  <c r="M23" i="63"/>
  <c r="G3" i="68"/>
  <c r="H23" i="68"/>
  <c r="P23" i="62"/>
  <c r="M3" i="62"/>
  <c r="L23" i="64"/>
  <c r="K3" i="64"/>
  <c r="R23" i="60"/>
  <c r="Q3" i="60"/>
  <c r="I23" i="67"/>
  <c r="H3" i="67"/>
  <c r="Q16" i="70"/>
  <c r="G23" i="69"/>
  <c r="S16" i="69"/>
  <c r="P3" i="61"/>
  <c r="Q23" i="61"/>
  <c r="J3" i="65"/>
  <c r="K23" i="65"/>
  <c r="U3" i="56"/>
  <c r="V23" i="56"/>
  <c r="V3" i="56" s="1"/>
  <c r="I3" i="66"/>
  <c r="J23" i="66"/>
  <c r="U23" i="57"/>
  <c r="T3" i="57"/>
  <c r="S3" i="58"/>
  <c r="T23" i="58"/>
  <c r="U3" i="54"/>
  <c r="V23" i="54"/>
  <c r="V3" i="54" s="1"/>
  <c r="C23" i="36"/>
  <c r="A24" i="76" l="1"/>
  <c r="B22" i="75"/>
  <c r="A22" i="75" s="1"/>
  <c r="P54" i="61"/>
  <c r="T54" i="61" s="1"/>
  <c r="AB36" i="61" s="1"/>
  <c r="P20" i="36"/>
  <c r="C26" i="75"/>
  <c r="E28" i="76"/>
  <c r="D28" i="76"/>
  <c r="E26" i="75"/>
  <c r="U20" i="36"/>
  <c r="P56" i="61"/>
  <c r="T56" i="61" s="1"/>
  <c r="AB38" i="61" s="1"/>
  <c r="J18" i="36"/>
  <c r="P52" i="59"/>
  <c r="T52" i="59" s="1"/>
  <c r="AB34" i="59" s="1"/>
  <c r="AB32" i="59"/>
  <c r="P53" i="60"/>
  <c r="T53" i="60" s="1"/>
  <c r="S21" i="36"/>
  <c r="P55" i="62"/>
  <c r="T55" i="62" s="1"/>
  <c r="AB37" i="62" s="1"/>
  <c r="M19" i="36"/>
  <c r="AC26" i="63"/>
  <c r="AD26" i="63" s="1"/>
  <c r="AC25" i="61"/>
  <c r="AD25" i="61" s="1"/>
  <c r="R52" i="61"/>
  <c r="H21" i="36" s="1"/>
  <c r="R51" i="61"/>
  <c r="E21" i="36" s="1"/>
  <c r="AB33" i="59"/>
  <c r="P51" i="60"/>
  <c r="T51" i="60" s="1"/>
  <c r="G19" i="36"/>
  <c r="AC38" i="62"/>
  <c r="AC35" i="63"/>
  <c r="AC36" i="63" s="1"/>
  <c r="AC37" i="63" s="1"/>
  <c r="D22" i="36"/>
  <c r="A21" i="36"/>
  <c r="P57" i="61"/>
  <c r="T57" i="61" s="1"/>
  <c r="AB35" i="60"/>
  <c r="U23" i="58"/>
  <c r="T3" i="58"/>
  <c r="J3" i="66"/>
  <c r="K23" i="66"/>
  <c r="L23" i="65"/>
  <c r="K3" i="65"/>
  <c r="Q16" i="71"/>
  <c r="G23" i="70"/>
  <c r="S16" i="70"/>
  <c r="R3" i="60"/>
  <c r="S23" i="60"/>
  <c r="L3" i="64"/>
  <c r="M23" i="64"/>
  <c r="P3" i="62"/>
  <c r="Q23" i="62"/>
  <c r="R23" i="61"/>
  <c r="Q3" i="61"/>
  <c r="U3" i="57"/>
  <c r="V23" i="57"/>
  <c r="V3" i="57" s="1"/>
  <c r="G3" i="69"/>
  <c r="H23" i="69"/>
  <c r="I3" i="67"/>
  <c r="J23" i="67"/>
  <c r="I23" i="68"/>
  <c r="H3" i="68"/>
  <c r="P23" i="63"/>
  <c r="M3" i="63"/>
  <c r="S3" i="59"/>
  <c r="T23" i="59"/>
  <c r="C24" i="36"/>
  <c r="A25" i="76" l="1"/>
  <c r="B23" i="75"/>
  <c r="A23" i="75" s="1"/>
  <c r="P21" i="36"/>
  <c r="P54" i="62"/>
  <c r="T54" i="62" s="1"/>
  <c r="AB36" i="62" s="1"/>
  <c r="E27" i="75"/>
  <c r="D29" i="76"/>
  <c r="C27" i="75"/>
  <c r="E29" i="76"/>
  <c r="U21" i="36"/>
  <c r="P56" i="62"/>
  <c r="T56" i="62" s="1"/>
  <c r="AB38" i="62" s="1"/>
  <c r="J19" i="36"/>
  <c r="P52" i="60"/>
  <c r="T52" i="60" s="1"/>
  <c r="AB34" i="60" s="1"/>
  <c r="AB32" i="60"/>
  <c r="P53" i="61"/>
  <c r="T53" i="61" s="1"/>
  <c r="P55" i="63"/>
  <c r="T55" i="63" s="1"/>
  <c r="AB37" i="63" s="1"/>
  <c r="S22" i="36"/>
  <c r="M20" i="36"/>
  <c r="AC26" i="64"/>
  <c r="AD26" i="64" s="1"/>
  <c r="AC25" i="62"/>
  <c r="AD25" i="62" s="1"/>
  <c r="AC38" i="63"/>
  <c r="AC35" i="64"/>
  <c r="AC36" i="64" s="1"/>
  <c r="AC37" i="64" s="1"/>
  <c r="AB33" i="60"/>
  <c r="G20" i="36"/>
  <c r="P51" i="61"/>
  <c r="T51" i="61" s="1"/>
  <c r="R51" i="62"/>
  <c r="E22" i="36" s="1"/>
  <c r="R52" i="62"/>
  <c r="H22" i="36" s="1"/>
  <c r="D23" i="36"/>
  <c r="A22" i="36"/>
  <c r="P57" i="62"/>
  <c r="T57" i="62" s="1"/>
  <c r="AB35" i="61"/>
  <c r="P3" i="63"/>
  <c r="Q23" i="63"/>
  <c r="I3" i="68"/>
  <c r="J23" i="68"/>
  <c r="R3" i="61"/>
  <c r="S23" i="61"/>
  <c r="Q16" i="72"/>
  <c r="G23" i="71"/>
  <c r="S16" i="71"/>
  <c r="L3" i="65"/>
  <c r="M23" i="65"/>
  <c r="U3" i="58"/>
  <c r="V23" i="58"/>
  <c r="V3" i="58" s="1"/>
  <c r="U23" i="59"/>
  <c r="T3" i="59"/>
  <c r="J3" i="67"/>
  <c r="K23" i="67"/>
  <c r="H3" i="69"/>
  <c r="I23" i="69"/>
  <c r="R23" i="62"/>
  <c r="Q3" i="62"/>
  <c r="P23" i="64"/>
  <c r="M3" i="64"/>
  <c r="S3" i="60"/>
  <c r="T23" i="60"/>
  <c r="H23" i="70"/>
  <c r="G3" i="70"/>
  <c r="L23" i="66"/>
  <c r="K3" i="66"/>
  <c r="C25" i="36"/>
  <c r="A26" i="76" l="1"/>
  <c r="B24" i="75"/>
  <c r="A24" i="75" s="1"/>
  <c r="P22" i="36"/>
  <c r="P54" i="63"/>
  <c r="T54" i="63" s="1"/>
  <c r="AB36" i="63" s="1"/>
  <c r="C28" i="75"/>
  <c r="E30" i="76"/>
  <c r="E28" i="75"/>
  <c r="D30" i="76"/>
  <c r="P56" i="63"/>
  <c r="T56" i="63" s="1"/>
  <c r="AB38" i="63" s="1"/>
  <c r="U22" i="36"/>
  <c r="J20" i="36"/>
  <c r="P52" i="61"/>
  <c r="T52" i="61" s="1"/>
  <c r="AB34" i="61" s="1"/>
  <c r="AB32" i="61"/>
  <c r="P53" i="62"/>
  <c r="T53" i="62" s="1"/>
  <c r="S23" i="36"/>
  <c r="P55" i="64"/>
  <c r="T55" i="64" s="1"/>
  <c r="AB37" i="64" s="1"/>
  <c r="M21" i="36"/>
  <c r="AC26" i="65"/>
  <c r="AD26" i="65" s="1"/>
  <c r="AC25" i="63"/>
  <c r="AD25" i="63" s="1"/>
  <c r="AC38" i="64"/>
  <c r="AC35" i="65"/>
  <c r="AC36" i="65" s="1"/>
  <c r="AC37" i="65" s="1"/>
  <c r="R51" i="63"/>
  <c r="E23" i="36" s="1"/>
  <c r="R52" i="63"/>
  <c r="H23" i="36" s="1"/>
  <c r="AB33" i="61"/>
  <c r="P51" i="62"/>
  <c r="T51" i="62" s="1"/>
  <c r="G21" i="36"/>
  <c r="D24" i="36"/>
  <c r="A23" i="36"/>
  <c r="P57" i="63"/>
  <c r="T57" i="63" s="1"/>
  <c r="AB35" i="62"/>
  <c r="L3" i="66"/>
  <c r="M23" i="66"/>
  <c r="H3" i="70"/>
  <c r="I23" i="70"/>
  <c r="U23" i="60"/>
  <c r="T3" i="60"/>
  <c r="J23" i="69"/>
  <c r="I3" i="69"/>
  <c r="L23" i="67"/>
  <c r="K3" i="67"/>
  <c r="P23" i="65"/>
  <c r="M3" i="65"/>
  <c r="G23" i="72"/>
  <c r="S16" i="72"/>
  <c r="P3" i="64"/>
  <c r="Q23" i="64"/>
  <c r="R3" i="62"/>
  <c r="S23" i="62"/>
  <c r="U3" i="59"/>
  <c r="V23" i="59"/>
  <c r="V3" i="59" s="1"/>
  <c r="H23" i="71"/>
  <c r="G3" i="71"/>
  <c r="S3" i="61"/>
  <c r="T23" i="61"/>
  <c r="J3" i="68"/>
  <c r="K23" i="68"/>
  <c r="R23" i="63"/>
  <c r="Q3" i="63"/>
  <c r="C26" i="36"/>
  <c r="A27" i="76" l="1"/>
  <c r="B25" i="75"/>
  <c r="A25" i="75" s="1"/>
  <c r="P23" i="36"/>
  <c r="P54" i="64"/>
  <c r="T54" i="64" s="1"/>
  <c r="AB36" i="64" s="1"/>
  <c r="E29" i="75"/>
  <c r="D31" i="76"/>
  <c r="C29" i="75"/>
  <c r="E31" i="76"/>
  <c r="U23" i="36"/>
  <c r="P56" i="64"/>
  <c r="T56" i="64" s="1"/>
  <c r="AB38" i="64" s="1"/>
  <c r="J21" i="36"/>
  <c r="P52" i="62"/>
  <c r="T52" i="62" s="1"/>
  <c r="AB34" i="62" s="1"/>
  <c r="AB32" i="62"/>
  <c r="P53" i="63"/>
  <c r="T53" i="63" s="1"/>
  <c r="S24" i="36"/>
  <c r="P55" i="65"/>
  <c r="T55" i="65" s="1"/>
  <c r="AB37" i="65" s="1"/>
  <c r="M22" i="36"/>
  <c r="AC26" i="66"/>
  <c r="AD26" i="66" s="1"/>
  <c r="AC25" i="64"/>
  <c r="AD25" i="64" s="1"/>
  <c r="R51" i="64"/>
  <c r="E24" i="36" s="1"/>
  <c r="R52" i="64"/>
  <c r="H24" i="36" s="1"/>
  <c r="AC38" i="65"/>
  <c r="AC35" i="66"/>
  <c r="AC36" i="66" s="1"/>
  <c r="AC37" i="66" s="1"/>
  <c r="AB33" i="62"/>
  <c r="P51" i="63"/>
  <c r="T51" i="63" s="1"/>
  <c r="G22" i="36"/>
  <c r="D25" i="36"/>
  <c r="A24" i="36"/>
  <c r="P57" i="64"/>
  <c r="T57" i="64" s="1"/>
  <c r="AB35" i="63"/>
  <c r="L23" i="68"/>
  <c r="K3" i="68"/>
  <c r="U23" i="61"/>
  <c r="T3" i="61"/>
  <c r="S3" i="62"/>
  <c r="T23" i="62"/>
  <c r="R23" i="64"/>
  <c r="Q3" i="64"/>
  <c r="R3" i="63"/>
  <c r="S23" i="63"/>
  <c r="H3" i="71"/>
  <c r="I23" i="71"/>
  <c r="P3" i="65"/>
  <c r="Q23" i="65"/>
  <c r="L3" i="67"/>
  <c r="M23" i="67"/>
  <c r="J3" i="69"/>
  <c r="K23" i="69"/>
  <c r="U3" i="60"/>
  <c r="V23" i="60"/>
  <c r="V3" i="60" s="1"/>
  <c r="G3" i="72"/>
  <c r="H23" i="72"/>
  <c r="J23" i="70"/>
  <c r="I3" i="70"/>
  <c r="P23" i="66"/>
  <c r="M3" i="66"/>
  <c r="C27" i="36"/>
  <c r="A28" i="76" l="1"/>
  <c r="B26" i="75"/>
  <c r="A26" i="75" s="1"/>
  <c r="P24" i="36"/>
  <c r="P54" i="65"/>
  <c r="T54" i="65" s="1"/>
  <c r="AB36" i="65" s="1"/>
  <c r="E32" i="76"/>
  <c r="C30" i="75"/>
  <c r="D32" i="76"/>
  <c r="E30" i="75"/>
  <c r="P56" i="65"/>
  <c r="T56" i="65" s="1"/>
  <c r="AB38" i="65" s="1"/>
  <c r="U24" i="36"/>
  <c r="J22" i="36"/>
  <c r="P52" i="63"/>
  <c r="T52" i="63" s="1"/>
  <c r="AB34" i="63" s="1"/>
  <c r="AB32" i="63"/>
  <c r="P53" i="64"/>
  <c r="T53" i="64" s="1"/>
  <c r="S25" i="36"/>
  <c r="P55" i="66"/>
  <c r="T55" i="66" s="1"/>
  <c r="AB37" i="66" s="1"/>
  <c r="M23" i="36"/>
  <c r="AC26" i="67"/>
  <c r="AD26" i="67" s="1"/>
  <c r="AC25" i="65"/>
  <c r="AD25" i="65" s="1"/>
  <c r="R51" i="65"/>
  <c r="E25" i="36" s="1"/>
  <c r="R52" i="65"/>
  <c r="H25" i="36" s="1"/>
  <c r="AC38" i="66"/>
  <c r="AC35" i="67"/>
  <c r="AC36" i="67" s="1"/>
  <c r="AC37" i="67" s="1"/>
  <c r="AB33" i="63"/>
  <c r="G23" i="36"/>
  <c r="P51" i="64"/>
  <c r="T51" i="64" s="1"/>
  <c r="D26" i="36"/>
  <c r="A25" i="36"/>
  <c r="P57" i="65"/>
  <c r="T57" i="65" s="1"/>
  <c r="AB35" i="64"/>
  <c r="H3" i="72"/>
  <c r="I23" i="72"/>
  <c r="R3" i="64"/>
  <c r="S23" i="64"/>
  <c r="U3" i="61"/>
  <c r="V23" i="61"/>
  <c r="V3" i="61" s="1"/>
  <c r="L3" i="68"/>
  <c r="M23" i="68"/>
  <c r="P3" i="66"/>
  <c r="Q23" i="66"/>
  <c r="J3" i="70"/>
  <c r="K23" i="70"/>
  <c r="L23" i="69"/>
  <c r="K3" i="69"/>
  <c r="P23" i="67"/>
  <c r="M3" i="67"/>
  <c r="R23" i="65"/>
  <c r="Q3" i="65"/>
  <c r="J23" i="71"/>
  <c r="I3" i="71"/>
  <c r="S3" i="63"/>
  <c r="T23" i="63"/>
  <c r="U23" i="62"/>
  <c r="T3" i="62"/>
  <c r="C28" i="36"/>
  <c r="A29" i="76" l="1"/>
  <c r="B27" i="75"/>
  <c r="A27" i="75" s="1"/>
  <c r="P25" i="36"/>
  <c r="P54" i="66"/>
  <c r="T54" i="66" s="1"/>
  <c r="AB36" i="66" s="1"/>
  <c r="E31" i="75"/>
  <c r="D33" i="76"/>
  <c r="C31" i="75"/>
  <c r="E33" i="76"/>
  <c r="U25" i="36"/>
  <c r="P56" i="66"/>
  <c r="T56" i="66" s="1"/>
  <c r="AB38" i="66" s="1"/>
  <c r="J23" i="36"/>
  <c r="P52" i="64"/>
  <c r="T52" i="64" s="1"/>
  <c r="AB34" i="64" s="1"/>
  <c r="AB32" i="64"/>
  <c r="P53" i="65"/>
  <c r="T53" i="65" s="1"/>
  <c r="P55" i="67"/>
  <c r="T55" i="67" s="1"/>
  <c r="AB37" i="67" s="1"/>
  <c r="S26" i="36"/>
  <c r="M24" i="36"/>
  <c r="AC26" i="68"/>
  <c r="AD26" i="68" s="1"/>
  <c r="AC25" i="66"/>
  <c r="AD25" i="66" s="1"/>
  <c r="R51" i="66"/>
  <c r="E26" i="36" s="1"/>
  <c r="R52" i="66"/>
  <c r="H26" i="36" s="1"/>
  <c r="AB33" i="64"/>
  <c r="P51" i="65"/>
  <c r="T51" i="65" s="1"/>
  <c r="G24" i="36"/>
  <c r="AC38" i="67"/>
  <c r="AC35" i="68"/>
  <c r="AC36" i="68" s="1"/>
  <c r="AC37" i="68" s="1"/>
  <c r="D27" i="36"/>
  <c r="A26" i="36"/>
  <c r="P57" i="66"/>
  <c r="T57" i="66" s="1"/>
  <c r="AB35" i="65"/>
  <c r="U23" i="63"/>
  <c r="T3" i="63"/>
  <c r="L23" i="70"/>
  <c r="K3" i="70"/>
  <c r="R23" i="66"/>
  <c r="Q3" i="66"/>
  <c r="P23" i="68"/>
  <c r="M3" i="68"/>
  <c r="S3" i="64"/>
  <c r="T23" i="64"/>
  <c r="U3" i="62"/>
  <c r="V23" i="62"/>
  <c r="V3" i="62" s="1"/>
  <c r="J3" i="71"/>
  <c r="K23" i="71"/>
  <c r="R3" i="65"/>
  <c r="S23" i="65"/>
  <c r="P3" i="67"/>
  <c r="Q23" i="67"/>
  <c r="L3" i="69"/>
  <c r="M23" i="69"/>
  <c r="J23" i="72"/>
  <c r="I3" i="72"/>
  <c r="C29" i="36"/>
  <c r="A30" i="76" l="1"/>
  <c r="B28" i="75"/>
  <c r="A28" i="75" s="1"/>
  <c r="P54" i="67"/>
  <c r="T54" i="67" s="1"/>
  <c r="AB36" i="67" s="1"/>
  <c r="P26" i="36"/>
  <c r="E34" i="76"/>
  <c r="C32" i="75"/>
  <c r="E32" i="75"/>
  <c r="D34" i="76"/>
  <c r="P56" i="67"/>
  <c r="T56" i="67" s="1"/>
  <c r="AB38" i="67" s="1"/>
  <c r="U26" i="36"/>
  <c r="J24" i="36"/>
  <c r="P52" i="65"/>
  <c r="T52" i="65" s="1"/>
  <c r="AB34" i="65" s="1"/>
  <c r="AB32" i="65"/>
  <c r="P53" i="66"/>
  <c r="T53" i="66" s="1"/>
  <c r="S27" i="36"/>
  <c r="P55" i="68"/>
  <c r="T55" i="68" s="1"/>
  <c r="AB37" i="68" s="1"/>
  <c r="M25" i="36"/>
  <c r="AC26" i="69"/>
  <c r="AD26" i="69" s="1"/>
  <c r="AC25" i="67"/>
  <c r="AD25" i="67" s="1"/>
  <c r="AC38" i="68"/>
  <c r="AC35" i="69"/>
  <c r="AC36" i="69" s="1"/>
  <c r="AC37" i="69" s="1"/>
  <c r="AB33" i="65"/>
  <c r="G25" i="36"/>
  <c r="P51" i="66"/>
  <c r="T51" i="66" s="1"/>
  <c r="R52" i="67"/>
  <c r="H27" i="36" s="1"/>
  <c r="R51" i="67"/>
  <c r="E27" i="36" s="1"/>
  <c r="D28" i="36"/>
  <c r="A27" i="36"/>
  <c r="P57" i="67"/>
  <c r="T57" i="67" s="1"/>
  <c r="AB35" i="66"/>
  <c r="P23" i="69"/>
  <c r="M3" i="69"/>
  <c r="R23" i="67"/>
  <c r="Q3" i="67"/>
  <c r="S3" i="65"/>
  <c r="T23" i="65"/>
  <c r="L23" i="71"/>
  <c r="K3" i="71"/>
  <c r="P3" i="68"/>
  <c r="Q23" i="68"/>
  <c r="R3" i="66"/>
  <c r="S23" i="66"/>
  <c r="L3" i="70"/>
  <c r="M23" i="70"/>
  <c r="U3" i="63"/>
  <c r="V23" i="63"/>
  <c r="V3" i="63" s="1"/>
  <c r="J3" i="72"/>
  <c r="K23" i="72"/>
  <c r="U23" i="64"/>
  <c r="T3" i="64"/>
  <c r="C30" i="36"/>
  <c r="A31" i="76" l="1"/>
  <c r="B29" i="75"/>
  <c r="A29" i="75" s="1"/>
  <c r="P54" i="68"/>
  <c r="T54" i="68" s="1"/>
  <c r="AB36" i="68" s="1"/>
  <c r="P27" i="36"/>
  <c r="E33" i="75"/>
  <c r="D35" i="76"/>
  <c r="C33" i="75"/>
  <c r="E35" i="76"/>
  <c r="U27" i="36"/>
  <c r="P56" i="68"/>
  <c r="T56" i="68" s="1"/>
  <c r="AB38" i="68" s="1"/>
  <c r="J25" i="36"/>
  <c r="P52" i="66"/>
  <c r="T52" i="66" s="1"/>
  <c r="AB34" i="66" s="1"/>
  <c r="AB32" i="66"/>
  <c r="P53" i="67"/>
  <c r="T53" i="67" s="1"/>
  <c r="P55" i="69"/>
  <c r="T55" i="69" s="1"/>
  <c r="AB37" i="69" s="1"/>
  <c r="S28" i="36"/>
  <c r="M26" i="36"/>
  <c r="AC26" i="70"/>
  <c r="AD26" i="70" s="1"/>
  <c r="AC25" i="68"/>
  <c r="AD25" i="68" s="1"/>
  <c r="AC38" i="69"/>
  <c r="AC35" i="70"/>
  <c r="AC36" i="70" s="1"/>
  <c r="AC37" i="70" s="1"/>
  <c r="R52" i="68"/>
  <c r="H28" i="36" s="1"/>
  <c r="R51" i="68"/>
  <c r="E28" i="36" s="1"/>
  <c r="D29" i="36"/>
  <c r="A28" i="36"/>
  <c r="AB33" i="66"/>
  <c r="G26" i="36"/>
  <c r="P51" i="67"/>
  <c r="T51" i="67" s="1"/>
  <c r="P57" i="68"/>
  <c r="T57" i="68" s="1"/>
  <c r="AB35" i="67"/>
  <c r="L23" i="72"/>
  <c r="K3" i="72"/>
  <c r="P23" i="70"/>
  <c r="M3" i="70"/>
  <c r="S3" i="66"/>
  <c r="T23" i="66"/>
  <c r="R23" i="68"/>
  <c r="Q3" i="68"/>
  <c r="L3" i="71"/>
  <c r="M23" i="71"/>
  <c r="R3" i="67"/>
  <c r="S23" i="67"/>
  <c r="P3" i="69"/>
  <c r="Q23" i="69"/>
  <c r="U3" i="64"/>
  <c r="V23" i="64"/>
  <c r="V3" i="64" s="1"/>
  <c r="U23" i="65"/>
  <c r="T3" i="65"/>
  <c r="C31" i="36"/>
  <c r="P54" i="69" l="1"/>
  <c r="T54" i="69" s="1"/>
  <c r="AB36" i="69" s="1"/>
  <c r="A32" i="76"/>
  <c r="B30" i="75"/>
  <c r="A30" i="75" s="1"/>
  <c r="P28" i="36"/>
  <c r="C34" i="75"/>
  <c r="E36" i="76"/>
  <c r="E34" i="75"/>
  <c r="D36" i="76"/>
  <c r="P56" i="69"/>
  <c r="T56" i="69" s="1"/>
  <c r="AB38" i="69" s="1"/>
  <c r="U28" i="36"/>
  <c r="P52" i="67"/>
  <c r="T52" i="67" s="1"/>
  <c r="AB34" i="67" s="1"/>
  <c r="J26" i="36"/>
  <c r="AB32" i="67"/>
  <c r="P53" i="68"/>
  <c r="T53" i="68" s="1"/>
  <c r="P55" i="70"/>
  <c r="T55" i="70" s="1"/>
  <c r="AB37" i="70" s="1"/>
  <c r="S29" i="36"/>
  <c r="M27" i="36"/>
  <c r="P54" i="70"/>
  <c r="T54" i="70" s="1"/>
  <c r="AB36" i="70" s="1"/>
  <c r="P29" i="36"/>
  <c r="AC26" i="71"/>
  <c r="AD26" i="71" s="1"/>
  <c r="AC25" i="69"/>
  <c r="AD25" i="69" s="1"/>
  <c r="AB33" i="67"/>
  <c r="P51" i="68"/>
  <c r="T51" i="68" s="1"/>
  <c r="G27" i="36"/>
  <c r="R51" i="69"/>
  <c r="E29" i="36" s="1"/>
  <c r="R52" i="69"/>
  <c r="H29" i="36" s="1"/>
  <c r="AC38" i="70"/>
  <c r="AC35" i="71"/>
  <c r="AC36" i="71" s="1"/>
  <c r="AC37" i="71" s="1"/>
  <c r="D30" i="36"/>
  <c r="A29" i="36"/>
  <c r="P57" i="69"/>
  <c r="T57" i="69" s="1"/>
  <c r="AB35" i="68"/>
  <c r="U3" i="65"/>
  <c r="V23" i="65"/>
  <c r="V3" i="65" s="1"/>
  <c r="R3" i="68"/>
  <c r="S23" i="68"/>
  <c r="P3" i="70"/>
  <c r="Q23" i="70"/>
  <c r="L3" i="72"/>
  <c r="M23" i="72"/>
  <c r="R23" i="69"/>
  <c r="Q3" i="69"/>
  <c r="S3" i="67"/>
  <c r="T23" i="67"/>
  <c r="P23" i="71"/>
  <c r="M3" i="71"/>
  <c r="U23" i="66"/>
  <c r="T3" i="66"/>
  <c r="C32" i="36"/>
  <c r="A33" i="76" l="1"/>
  <c r="B31" i="75"/>
  <c r="A31" i="75" s="1"/>
  <c r="D37" i="76"/>
  <c r="E35" i="75"/>
  <c r="E37" i="76"/>
  <c r="C35" i="75"/>
  <c r="P56" i="70"/>
  <c r="T56" i="70" s="1"/>
  <c r="AB38" i="70" s="1"/>
  <c r="U29" i="36"/>
  <c r="J27" i="36"/>
  <c r="P52" i="68"/>
  <c r="T52" i="68" s="1"/>
  <c r="AB34" i="68" s="1"/>
  <c r="AB32" i="68"/>
  <c r="P53" i="69"/>
  <c r="T53" i="69" s="1"/>
  <c r="S30" i="36"/>
  <c r="P55" i="71"/>
  <c r="T55" i="71" s="1"/>
  <c r="AB37" i="71" s="1"/>
  <c r="M28" i="36"/>
  <c r="P54" i="71"/>
  <c r="T54" i="71" s="1"/>
  <c r="AB36" i="71" s="1"/>
  <c r="P30" i="36"/>
  <c r="AC26" i="72"/>
  <c r="AD26" i="72" s="1"/>
  <c r="AC25" i="70"/>
  <c r="AD25" i="70" s="1"/>
  <c r="AB33" i="68"/>
  <c r="G28" i="36"/>
  <c r="P51" i="69"/>
  <c r="T51" i="69" s="1"/>
  <c r="AC38" i="71"/>
  <c r="AC35" i="72"/>
  <c r="AC36" i="72" s="1"/>
  <c r="AC37" i="72" s="1"/>
  <c r="R52" i="70"/>
  <c r="H30" i="36" s="1"/>
  <c r="R51" i="70"/>
  <c r="E30" i="36" s="1"/>
  <c r="D31" i="36"/>
  <c r="A30" i="36"/>
  <c r="P57" i="70"/>
  <c r="T57" i="70" s="1"/>
  <c r="AB35" i="69"/>
  <c r="U3" i="66"/>
  <c r="V23" i="66"/>
  <c r="V3" i="66" s="1"/>
  <c r="P3" i="71"/>
  <c r="Q23" i="71"/>
  <c r="R3" i="69"/>
  <c r="S23" i="69"/>
  <c r="U23" i="67"/>
  <c r="T3" i="67"/>
  <c r="P23" i="72"/>
  <c r="M3" i="72"/>
  <c r="R23" i="70"/>
  <c r="Q3" i="70"/>
  <c r="S3" i="68"/>
  <c r="T23" i="68"/>
  <c r="A34" i="76" l="1"/>
  <c r="B32" i="75"/>
  <c r="A32" i="75" s="1"/>
  <c r="C36" i="75"/>
  <c r="E38" i="76"/>
  <c r="E36" i="75"/>
  <c r="D38" i="76"/>
  <c r="P56" i="71"/>
  <c r="T56" i="71" s="1"/>
  <c r="AB38" i="71" s="1"/>
  <c r="U30" i="36"/>
  <c r="J28" i="36"/>
  <c r="P52" i="69"/>
  <c r="T52" i="69" s="1"/>
  <c r="AB34" i="69" s="1"/>
  <c r="AB32" i="69"/>
  <c r="P53" i="70"/>
  <c r="T53" i="70" s="1"/>
  <c r="P55" i="72"/>
  <c r="T55" i="72" s="1"/>
  <c r="AB37" i="72" s="1"/>
  <c r="S31" i="36"/>
  <c r="M29" i="36"/>
  <c r="P54" i="72"/>
  <c r="T54" i="72" s="1"/>
  <c r="AB36" i="72" s="1"/>
  <c r="P31" i="36"/>
  <c r="AC25" i="71"/>
  <c r="AD25" i="71" s="1"/>
  <c r="AB33" i="69"/>
  <c r="G29" i="36"/>
  <c r="P51" i="70"/>
  <c r="T51" i="70" s="1"/>
  <c r="AC38" i="72"/>
  <c r="R51" i="71"/>
  <c r="E31" i="36" s="1"/>
  <c r="R52" i="71"/>
  <c r="H31" i="36" s="1"/>
  <c r="D32" i="36"/>
  <c r="A32" i="36" s="1"/>
  <c r="A31" i="36"/>
  <c r="P57" i="71"/>
  <c r="T57" i="71" s="1"/>
  <c r="AB35" i="70"/>
  <c r="U23" i="68"/>
  <c r="T3" i="68"/>
  <c r="R23" i="71"/>
  <c r="Q3" i="71"/>
  <c r="R3" i="70"/>
  <c r="S23" i="70"/>
  <c r="P3" i="72"/>
  <c r="Q23" i="72"/>
  <c r="U3" i="67"/>
  <c r="V23" i="67"/>
  <c r="V3" i="67" s="1"/>
  <c r="S3" i="69"/>
  <c r="T23" i="69"/>
  <c r="A35" i="76" l="1"/>
  <c r="B33" i="75"/>
  <c r="A33" i="75" s="1"/>
  <c r="C37" i="75"/>
  <c r="E39" i="76"/>
  <c r="D39" i="76"/>
  <c r="E37" i="75"/>
  <c r="P56" i="72"/>
  <c r="T56" i="72" s="1"/>
  <c r="AB38" i="72" s="1"/>
  <c r="U31" i="36"/>
  <c r="P52" i="70"/>
  <c r="T52" i="70" s="1"/>
  <c r="AB34" i="70" s="1"/>
  <c r="J29" i="36"/>
  <c r="AB32" i="70"/>
  <c r="P53" i="71"/>
  <c r="T53" i="71" s="1"/>
  <c r="S32" i="36"/>
  <c r="M30" i="36"/>
  <c r="P32" i="36"/>
  <c r="AC25" i="72"/>
  <c r="AD25" i="72" s="1"/>
  <c r="R51" i="72"/>
  <c r="E32" i="36" s="1"/>
  <c r="E33" i="36" s="1"/>
  <c r="R52" i="72"/>
  <c r="H32" i="36" s="1"/>
  <c r="AB33" i="70"/>
  <c r="G30" i="36"/>
  <c r="P51" i="71"/>
  <c r="T51" i="71" s="1"/>
  <c r="P57" i="72"/>
  <c r="T57" i="72" s="1"/>
  <c r="AB35" i="71"/>
  <c r="U23" i="69"/>
  <c r="T3" i="69"/>
  <c r="R23" i="72"/>
  <c r="Q3" i="72"/>
  <c r="S3" i="70"/>
  <c r="T23" i="70"/>
  <c r="R3" i="71"/>
  <c r="S23" i="71"/>
  <c r="U3" i="68"/>
  <c r="V23" i="68"/>
  <c r="V3" i="68" s="1"/>
  <c r="A36" i="76" l="1"/>
  <c r="B34" i="75"/>
  <c r="A34" i="75" s="1"/>
  <c r="E38" i="75"/>
  <c r="D40" i="76"/>
  <c r="E40" i="76"/>
  <c r="C38" i="75"/>
  <c r="U32" i="36"/>
  <c r="J30" i="36"/>
  <c r="P52" i="71"/>
  <c r="T52" i="71" s="1"/>
  <c r="AB34" i="71" s="1"/>
  <c r="AB32" i="71"/>
  <c r="P53" i="72"/>
  <c r="T53" i="72" s="1"/>
  <c r="AB32" i="72" s="1"/>
  <c r="M31" i="36"/>
  <c r="H33" i="36"/>
  <c r="AB33" i="71"/>
  <c r="G31" i="36"/>
  <c r="P51" i="72"/>
  <c r="T51" i="72" s="1"/>
  <c r="AB35" i="72"/>
  <c r="S3" i="71"/>
  <c r="T23" i="71"/>
  <c r="R3" i="72"/>
  <c r="S23" i="72"/>
  <c r="U3" i="69"/>
  <c r="V23" i="69"/>
  <c r="V3" i="69" s="1"/>
  <c r="U23" i="70"/>
  <c r="T3" i="70"/>
  <c r="A37" i="76" l="1"/>
  <c r="B35" i="75"/>
  <c r="A35" i="75" s="1"/>
  <c r="E41" i="76"/>
  <c r="C39" i="75"/>
  <c r="E39" i="75"/>
  <c r="D41" i="76"/>
  <c r="J31" i="36"/>
  <c r="P52" i="72"/>
  <c r="T52" i="72" s="1"/>
  <c r="AB34" i="72" s="1"/>
  <c r="M32" i="36"/>
  <c r="AB33" i="72"/>
  <c r="G32" i="36"/>
  <c r="S3" i="72"/>
  <c r="T23" i="72"/>
  <c r="U23" i="71"/>
  <c r="T3" i="71"/>
  <c r="U3" i="70"/>
  <c r="V23" i="70"/>
  <c r="V3" i="70" s="1"/>
  <c r="A38" i="76" l="1"/>
  <c r="B36" i="75"/>
  <c r="A36" i="75" s="1"/>
  <c r="D42" i="76"/>
  <c r="E40" i="75"/>
  <c r="E42" i="76"/>
  <c r="C40" i="75"/>
  <c r="J32" i="36"/>
  <c r="Q60" i="71" s="1"/>
  <c r="G34" i="36"/>
  <c r="G35" i="36"/>
  <c r="Q59" i="52"/>
  <c r="Q59" i="61"/>
  <c r="Q59" i="69"/>
  <c r="Q59" i="51"/>
  <c r="Q59" i="60"/>
  <c r="Q59" i="68"/>
  <c r="Q59" i="50"/>
  <c r="Q59" i="59"/>
  <c r="Q59" i="67"/>
  <c r="Q59" i="53"/>
  <c r="Q59" i="49"/>
  <c r="Q59" i="58"/>
  <c r="Q59" i="66"/>
  <c r="Q59" i="48"/>
  <c r="Q59" i="57"/>
  <c r="Q59" i="65"/>
  <c r="Q59" i="29"/>
  <c r="Q59" i="70"/>
  <c r="Q59" i="42"/>
  <c r="Q59" i="56"/>
  <c r="Q59" i="64"/>
  <c r="Q59" i="72"/>
  <c r="Q59" i="54"/>
  <c r="Q59" i="63"/>
  <c r="Q59" i="71"/>
  <c r="Q59" i="62"/>
  <c r="U23" i="72"/>
  <c r="T3" i="72"/>
  <c r="U3" i="71"/>
  <c r="V23" i="71"/>
  <c r="V3" i="71" s="1"/>
  <c r="A39" i="76" l="1"/>
  <c r="B37" i="75"/>
  <c r="A37" i="75" s="1"/>
  <c r="E43" i="76"/>
  <c r="C41" i="75"/>
  <c r="E41" i="75"/>
  <c r="D43" i="76"/>
  <c r="Q60" i="53"/>
  <c r="Q60" i="60"/>
  <c r="Q60" i="58"/>
  <c r="Q60" i="70"/>
  <c r="Q60" i="66"/>
  <c r="Q60" i="50"/>
  <c r="Q60" i="52"/>
  <c r="Q60" i="65"/>
  <c r="Q60" i="61"/>
  <c r="Q60" i="29"/>
  <c r="Q60" i="69"/>
  <c r="Q60" i="54"/>
  <c r="Q60" i="62"/>
  <c r="Q60" i="48"/>
  <c r="Q60" i="57"/>
  <c r="Q60" i="67"/>
  <c r="Q60" i="64"/>
  <c r="Q60" i="63"/>
  <c r="Q60" i="68"/>
  <c r="Q60" i="59"/>
  <c r="Q60" i="56"/>
  <c r="Q60" i="72"/>
  <c r="Q60" i="42"/>
  <c r="Q60" i="49"/>
  <c r="Q60" i="51"/>
  <c r="Q61" i="51"/>
  <c r="U3" i="72"/>
  <c r="V23" i="72"/>
  <c r="V3" i="72" s="1"/>
  <c r="A40" i="76" l="1"/>
  <c r="B38" i="75"/>
  <c r="A38" i="75" s="1"/>
  <c r="E42" i="75"/>
  <c r="D44" i="76"/>
  <c r="C42" i="75"/>
  <c r="E44" i="76"/>
  <c r="Q61" i="52"/>
  <c r="Q61" i="53"/>
  <c r="Q61" i="70"/>
  <c r="Q61" i="68"/>
  <c r="Q61" i="64"/>
  <c r="Q61" i="62"/>
  <c r="Q61" i="63"/>
  <c r="Q61" i="72"/>
  <c r="Q61" i="60"/>
  <c r="Q61" i="56"/>
  <c r="Q61" i="29"/>
  <c r="Q61" i="54"/>
  <c r="Q61" i="71"/>
  <c r="Q61" i="61"/>
  <c r="Q61" i="69"/>
  <c r="Q61" i="50"/>
  <c r="Q61" i="67"/>
  <c r="Q61" i="49"/>
  <c r="Q61" i="58"/>
  <c r="Q61" i="66"/>
  <c r="Q61" i="42"/>
  <c r="Q61" i="59"/>
  <c r="Q61" i="48"/>
  <c r="Q61" i="57"/>
  <c r="Q61" i="65"/>
  <c r="A41" i="76" l="1"/>
  <c r="B39" i="75"/>
  <c r="A39" i="75" s="1"/>
  <c r="C43" i="75"/>
  <c r="E45" i="76"/>
  <c r="E43" i="75"/>
  <c r="D45" i="76"/>
  <c r="A42" i="76" l="1"/>
  <c r="B40" i="75"/>
  <c r="A40" i="75" s="1"/>
  <c r="E44" i="75"/>
  <c r="D46" i="76"/>
  <c r="C44" i="75"/>
  <c r="E46" i="76"/>
  <c r="A43" i="76" l="1"/>
  <c r="B41" i="75"/>
  <c r="A41" i="75" s="1"/>
  <c r="E47" i="76"/>
  <c r="C45" i="75"/>
  <c r="E45" i="75"/>
  <c r="D47" i="76"/>
  <c r="A44" i="76" l="1"/>
  <c r="B42" i="75"/>
  <c r="A42" i="75" s="1"/>
  <c r="C46" i="75"/>
  <c r="E48" i="76"/>
  <c r="E46" i="75"/>
  <c r="D48" i="76"/>
  <c r="A45" i="76" l="1"/>
  <c r="B43" i="75"/>
  <c r="A43" i="75" s="1"/>
  <c r="D49" i="76"/>
  <c r="E47" i="75"/>
  <c r="C47" i="75"/>
  <c r="E49" i="76"/>
  <c r="A46" i="76" l="1"/>
  <c r="B44" i="75"/>
  <c r="A44" i="75" s="1"/>
  <c r="D50" i="76"/>
  <c r="E48" i="75"/>
  <c r="C48" i="75"/>
  <c r="E50" i="76"/>
  <c r="A47" i="76" l="1"/>
  <c r="B45" i="75"/>
  <c r="A45" i="75" s="1"/>
  <c r="E49" i="75"/>
  <c r="D51" i="76"/>
  <c r="E51" i="76"/>
  <c r="C49" i="75"/>
  <c r="A48" i="76" l="1"/>
  <c r="B46" i="75"/>
  <c r="A46" i="75" s="1"/>
  <c r="E52" i="76"/>
  <c r="C50" i="75"/>
  <c r="E50" i="75"/>
  <c r="D52" i="76"/>
  <c r="A49" i="76" l="1"/>
  <c r="B47" i="75"/>
  <c r="A47" i="75" s="1"/>
  <c r="C51" i="75"/>
  <c r="E53" i="76"/>
  <c r="E51" i="75"/>
  <c r="D53" i="76"/>
  <c r="A50" i="76" l="1"/>
  <c r="B48" i="75"/>
  <c r="A48" i="75" s="1"/>
  <c r="E52" i="75"/>
  <c r="D54" i="76"/>
  <c r="C52" i="75"/>
  <c r="E54" i="76"/>
  <c r="A51" i="76" l="1"/>
  <c r="B49" i="75"/>
  <c r="A49" i="75" s="1"/>
  <c r="C53" i="75"/>
  <c r="E55" i="76"/>
  <c r="E53" i="75"/>
  <c r="D55" i="76"/>
  <c r="A52" i="76" l="1"/>
  <c r="B50" i="75"/>
  <c r="A50" i="75" s="1"/>
  <c r="D56" i="76"/>
  <c r="E54" i="75"/>
  <c r="C54" i="75"/>
  <c r="E56" i="76"/>
  <c r="A53" i="76" l="1"/>
  <c r="B51" i="75"/>
  <c r="A51" i="75" s="1"/>
  <c r="E55" i="75"/>
  <c r="D57" i="76"/>
  <c r="C55" i="75"/>
  <c r="E57" i="76"/>
  <c r="A54" i="76" l="1"/>
  <c r="B52" i="75"/>
  <c r="A52" i="75" s="1"/>
  <c r="C56" i="75"/>
  <c r="E58" i="76"/>
  <c r="E56" i="75"/>
  <c r="D58" i="76"/>
  <c r="A55" i="76" l="1"/>
  <c r="B53" i="75"/>
  <c r="A53" i="75" s="1"/>
  <c r="E57" i="75"/>
  <c r="D59" i="76"/>
  <c r="C57" i="75"/>
  <c r="E59" i="76"/>
  <c r="A56" i="76" l="1"/>
  <c r="B54" i="75"/>
  <c r="A54" i="75" s="1"/>
  <c r="E60" i="76"/>
  <c r="C58" i="75"/>
  <c r="E58" i="75"/>
  <c r="D60" i="76"/>
  <c r="A57" i="76" l="1"/>
  <c r="B55" i="75"/>
  <c r="A55" i="75" s="1"/>
  <c r="C59" i="75"/>
  <c r="E61" i="76"/>
  <c r="D61" i="76"/>
  <c r="E59" i="75"/>
  <c r="A58" i="76" l="1"/>
  <c r="B56" i="75"/>
  <c r="A56" i="75" s="1"/>
  <c r="D62" i="76"/>
  <c r="E60" i="75"/>
  <c r="E62" i="76"/>
  <c r="C60" i="75"/>
  <c r="A59" i="76" l="1"/>
  <c r="B57" i="75"/>
  <c r="A57" i="75" s="1"/>
  <c r="D63" i="76"/>
  <c r="E61" i="75"/>
  <c r="E63" i="76"/>
  <c r="C61" i="75"/>
  <c r="A60" i="76" l="1"/>
  <c r="B58" i="75"/>
  <c r="A58" i="75" s="1"/>
  <c r="E64" i="76"/>
  <c r="C62" i="75"/>
  <c r="E62" i="75"/>
  <c r="D64" i="76"/>
  <c r="A61" i="76" l="1"/>
  <c r="B59" i="75"/>
  <c r="A59" i="75" s="1"/>
  <c r="E65" i="76"/>
  <c r="C63" i="75"/>
  <c r="D65" i="76"/>
  <c r="E63" i="75"/>
  <c r="A62" i="76" l="1"/>
  <c r="B60" i="75"/>
  <c r="A60" i="75" s="1"/>
  <c r="E64" i="75"/>
  <c r="D66" i="76"/>
  <c r="C64" i="75"/>
  <c r="E66" i="76"/>
  <c r="A63" i="76" l="1"/>
  <c r="B61" i="75"/>
  <c r="A61" i="75" s="1"/>
  <c r="C65" i="75"/>
  <c r="E67" i="76"/>
  <c r="E65" i="75"/>
  <c r="D67" i="76"/>
  <c r="B62" i="75" l="1"/>
  <c r="A62" i="75" s="1"/>
  <c r="A64" i="76"/>
  <c r="D68" i="76"/>
  <c r="E66" i="75"/>
  <c r="C66" i="75"/>
  <c r="E68" i="76"/>
  <c r="B63" i="75" l="1"/>
  <c r="A63" i="75" s="1"/>
  <c r="A65" i="76"/>
  <c r="C67" i="75"/>
  <c r="E69" i="76"/>
  <c r="D69" i="76"/>
  <c r="E67" i="75"/>
  <c r="B64" i="75" l="1"/>
  <c r="A64" i="75" s="1"/>
  <c r="A66" i="76"/>
  <c r="E70" i="76"/>
  <c r="C68" i="75"/>
  <c r="D70" i="76"/>
  <c r="E68" i="75"/>
  <c r="B65" i="75" l="1"/>
  <c r="A65" i="75" s="1"/>
  <c r="A67" i="76"/>
  <c r="E69" i="75"/>
  <c r="D71" i="76"/>
  <c r="C69" i="75"/>
  <c r="E71" i="76"/>
  <c r="B66" i="75" l="1"/>
  <c r="A66" i="75" s="1"/>
  <c r="A68" i="76"/>
  <c r="C70" i="75"/>
  <c r="E72" i="76"/>
  <c r="E70" i="75"/>
  <c r="D72" i="76"/>
  <c r="B67" i="75" l="1"/>
  <c r="A67" i="75" s="1"/>
  <c r="A69" i="76"/>
  <c r="D73" i="76"/>
  <c r="E71" i="75"/>
  <c r="C71" i="75"/>
  <c r="E73" i="76"/>
  <c r="B68" i="75" l="1"/>
  <c r="A68" i="75" s="1"/>
  <c r="A70" i="76"/>
  <c r="C72" i="75"/>
  <c r="E74" i="76"/>
  <c r="D74" i="76"/>
  <c r="E72" i="75"/>
  <c r="B69" i="75" l="1"/>
  <c r="A69" i="75" s="1"/>
  <c r="A71" i="76"/>
  <c r="E73" i="75"/>
  <c r="D75" i="76"/>
  <c r="C73" i="75"/>
  <c r="E75" i="76"/>
  <c r="B70" i="75" l="1"/>
  <c r="A70" i="75" s="1"/>
  <c r="A72" i="76"/>
  <c r="E76" i="76"/>
  <c r="C74" i="75"/>
  <c r="E74" i="75"/>
  <c r="D76" i="76"/>
  <c r="B71" i="75" l="1"/>
  <c r="A71" i="75" s="1"/>
  <c r="A73" i="76"/>
  <c r="E75" i="75"/>
  <c r="D77" i="76"/>
  <c r="C75" i="75"/>
  <c r="E77" i="76"/>
  <c r="B72" i="75" l="1"/>
  <c r="A72" i="75" s="1"/>
  <c r="A74" i="76"/>
  <c r="D78" i="76"/>
  <c r="E76" i="75"/>
  <c r="E78" i="76"/>
  <c r="C76" i="75"/>
  <c r="B73" i="75" l="1"/>
  <c r="A73" i="75" s="1"/>
  <c r="A75" i="76"/>
  <c r="E79" i="76"/>
  <c r="C77" i="75"/>
  <c r="D79" i="76"/>
  <c r="E77" i="75"/>
  <c r="B74" i="75" l="1"/>
  <c r="A74" i="75" s="1"/>
  <c r="A76" i="76"/>
  <c r="D80" i="76"/>
  <c r="E78" i="75"/>
  <c r="C78" i="75"/>
  <c r="E80" i="76"/>
  <c r="B75" i="75" l="1"/>
  <c r="A75" i="75" s="1"/>
  <c r="A77" i="76"/>
  <c r="E81" i="76"/>
  <c r="C79" i="75"/>
  <c r="D81" i="76"/>
  <c r="E79" i="75"/>
  <c r="B76" i="75" l="1"/>
  <c r="A76" i="75" s="1"/>
  <c r="A78" i="76"/>
  <c r="D82" i="76"/>
  <c r="E80" i="75"/>
  <c r="C80" i="75"/>
  <c r="E82" i="76"/>
  <c r="B77" i="75" l="1"/>
  <c r="A77" i="75" s="1"/>
  <c r="A79" i="76"/>
  <c r="C81" i="75"/>
  <c r="E83" i="76"/>
  <c r="D83" i="76"/>
  <c r="E81" i="75"/>
  <c r="B78" i="75" l="1"/>
  <c r="A78" i="75" s="1"/>
  <c r="A80" i="76"/>
  <c r="D84" i="76"/>
  <c r="E82" i="75"/>
  <c r="C82" i="75"/>
  <c r="E84" i="76"/>
  <c r="B79" i="75" l="1"/>
  <c r="A79" i="75" s="1"/>
  <c r="A81" i="76"/>
  <c r="C83" i="75"/>
  <c r="E85" i="76"/>
  <c r="D85" i="76"/>
  <c r="E83" i="75"/>
  <c r="B80" i="75" l="1"/>
  <c r="A80" i="75" s="1"/>
  <c r="A82" i="76"/>
  <c r="C84" i="75"/>
  <c r="E86" i="76"/>
  <c r="D86" i="76"/>
  <c r="E84" i="75"/>
  <c r="B81" i="75" l="1"/>
  <c r="A81" i="75" s="1"/>
  <c r="A83" i="76"/>
  <c r="D87" i="76"/>
  <c r="E85" i="75"/>
  <c r="C85" i="75"/>
  <c r="E87" i="76"/>
  <c r="B82" i="75" l="1"/>
  <c r="A82" i="75" s="1"/>
  <c r="A84" i="76"/>
  <c r="E88" i="76"/>
  <c r="C86" i="75"/>
  <c r="D88" i="76"/>
  <c r="E86" i="75"/>
  <c r="B83" i="75" l="1"/>
  <c r="A83" i="75" s="1"/>
  <c r="A85" i="76"/>
  <c r="D89" i="76"/>
  <c r="E87" i="75"/>
  <c r="C87" i="75"/>
  <c r="E89" i="76"/>
  <c r="B84" i="75" l="1"/>
  <c r="A84" i="75" s="1"/>
  <c r="A86" i="76"/>
  <c r="C88" i="75"/>
  <c r="E90" i="76"/>
  <c r="D90" i="76"/>
  <c r="E88" i="75"/>
  <c r="B85" i="75" l="1"/>
  <c r="A85" i="75" s="1"/>
  <c r="A87" i="76"/>
  <c r="D91" i="76"/>
  <c r="E89" i="75"/>
  <c r="C89" i="75"/>
  <c r="E91" i="76"/>
  <c r="B86" i="75" l="1"/>
  <c r="A86" i="75" s="1"/>
  <c r="A88" i="76"/>
  <c r="C90" i="75"/>
  <c r="E92" i="76"/>
  <c r="E90" i="75"/>
  <c r="D92" i="76"/>
  <c r="B87" i="75" l="1"/>
  <c r="A87" i="75" s="1"/>
  <c r="A89" i="76"/>
  <c r="D93" i="76"/>
  <c r="E91" i="75"/>
  <c r="C91" i="75"/>
  <c r="E93" i="76"/>
  <c r="B88" i="75" l="1"/>
  <c r="A88" i="75" s="1"/>
  <c r="A90" i="76"/>
  <c r="D94" i="76"/>
  <c r="E92" i="75"/>
  <c r="C92" i="75"/>
  <c r="E94" i="76"/>
  <c r="B89" i="75" l="1"/>
  <c r="A89" i="75" s="1"/>
  <c r="A91" i="76"/>
  <c r="C93" i="75"/>
  <c r="E95" i="76"/>
  <c r="D95" i="76"/>
  <c r="E93" i="75"/>
  <c r="B90" i="75" l="1"/>
  <c r="A90" i="75" s="1"/>
  <c r="A92" i="76"/>
  <c r="E94" i="75"/>
  <c r="D96" i="76"/>
  <c r="C94" i="75"/>
  <c r="E96" i="76"/>
  <c r="B91" i="75" l="1"/>
  <c r="A91" i="75" s="1"/>
  <c r="A93" i="76"/>
  <c r="C95" i="75"/>
  <c r="E97" i="76"/>
  <c r="E95" i="75"/>
  <c r="D97" i="76"/>
  <c r="B92" i="75" l="1"/>
  <c r="A92" i="75" s="1"/>
  <c r="A94" i="76"/>
  <c r="D98" i="76"/>
  <c r="E96" i="75"/>
  <c r="C96" i="75"/>
  <c r="E98" i="76"/>
  <c r="B93" i="75" l="1"/>
  <c r="A93" i="75" s="1"/>
  <c r="A95" i="76"/>
  <c r="E99" i="76"/>
  <c r="C97" i="75"/>
  <c r="D99" i="76"/>
  <c r="E97" i="75"/>
  <c r="B94" i="75" l="1"/>
  <c r="A94" i="75" s="1"/>
  <c r="A96" i="76"/>
  <c r="E98" i="75"/>
  <c r="D100" i="76"/>
  <c r="C98" i="75"/>
  <c r="E100" i="76"/>
  <c r="B95" i="75" l="1"/>
  <c r="A95" i="75" s="1"/>
  <c r="A97" i="76"/>
  <c r="D101" i="76"/>
  <c r="E99" i="75"/>
  <c r="C99" i="75"/>
  <c r="E101" i="76"/>
  <c r="B96" i="75" l="1"/>
  <c r="A96" i="75" s="1"/>
  <c r="A98" i="76"/>
  <c r="E102" i="76"/>
  <c r="C100" i="75"/>
  <c r="E100" i="75"/>
  <c r="D102" i="76"/>
  <c r="B97" i="75" l="1"/>
  <c r="A97" i="75" s="1"/>
  <c r="A99" i="76"/>
  <c r="D103" i="76"/>
  <c r="E101" i="75"/>
  <c r="C101" i="75"/>
  <c r="E103" i="76"/>
  <c r="B98" i="75" l="1"/>
  <c r="A98" i="75" s="1"/>
  <c r="A100" i="76"/>
  <c r="C102" i="75"/>
  <c r="E104" i="76"/>
  <c r="D104" i="76"/>
  <c r="E102" i="75"/>
  <c r="B99" i="75" l="1"/>
  <c r="A99" i="75" s="1"/>
  <c r="A101" i="76"/>
  <c r="E103" i="75"/>
  <c r="D105" i="76"/>
  <c r="C103" i="75"/>
  <c r="E105" i="76"/>
  <c r="B100" i="75" l="1"/>
  <c r="A100" i="75" s="1"/>
  <c r="A102" i="76"/>
  <c r="C104" i="75"/>
  <c r="E106" i="76"/>
  <c r="E104" i="75"/>
  <c r="D106" i="76"/>
  <c r="B101" i="75" l="1"/>
  <c r="A101" i="75" s="1"/>
  <c r="A103" i="76"/>
  <c r="E105" i="75"/>
  <c r="D107" i="76"/>
  <c r="C105" i="75"/>
  <c r="E107" i="76"/>
  <c r="B102" i="75" l="1"/>
  <c r="A102" i="75" s="1"/>
  <c r="A104" i="76"/>
  <c r="C106" i="75"/>
  <c r="E108" i="76"/>
  <c r="D108" i="76"/>
  <c r="E106" i="75"/>
  <c r="B103" i="75" l="1"/>
  <c r="A103" i="75" s="1"/>
  <c r="A105" i="76"/>
  <c r="E107" i="75"/>
  <c r="D109" i="76"/>
  <c r="C107" i="75"/>
  <c r="E109" i="76"/>
  <c r="B104" i="75" l="1"/>
  <c r="A104" i="75" s="1"/>
  <c r="A106" i="76"/>
  <c r="C108" i="75"/>
  <c r="E110" i="76"/>
  <c r="E108" i="75"/>
  <c r="D110" i="76"/>
  <c r="B105" i="75" l="1"/>
  <c r="A105" i="75" s="1"/>
  <c r="A107" i="76"/>
  <c r="D111" i="76"/>
  <c r="E109" i="75"/>
  <c r="C109" i="75"/>
  <c r="E111" i="76"/>
  <c r="B106" i="75" l="1"/>
  <c r="A106" i="75" s="1"/>
  <c r="A108" i="76"/>
  <c r="C110" i="75"/>
  <c r="E112" i="76"/>
  <c r="E110" i="75"/>
  <c r="D112" i="76"/>
  <c r="B107" i="75" l="1"/>
  <c r="A107" i="75" s="1"/>
  <c r="A109" i="76"/>
  <c r="E111" i="75"/>
  <c r="D113" i="76"/>
  <c r="C111" i="75"/>
  <c r="E113" i="76"/>
  <c r="B108" i="75" l="1"/>
  <c r="A108" i="75" s="1"/>
  <c r="A110" i="76"/>
  <c r="C112" i="75"/>
  <c r="E114" i="76"/>
  <c r="D114" i="76"/>
  <c r="E112" i="75"/>
  <c r="B109" i="75" l="1"/>
  <c r="A109" i="75" s="1"/>
  <c r="A111" i="76"/>
  <c r="E113" i="75"/>
  <c r="D115" i="76"/>
  <c r="C113" i="75"/>
  <c r="E115" i="76"/>
  <c r="B110" i="75" l="1"/>
  <c r="A110" i="75" s="1"/>
  <c r="A112" i="76"/>
  <c r="E116" i="76"/>
  <c r="C114" i="75"/>
  <c r="D116" i="76"/>
  <c r="E114" i="75"/>
  <c r="B111" i="75" l="1"/>
  <c r="A111" i="75" s="1"/>
  <c r="A113" i="76"/>
  <c r="D117" i="76"/>
  <c r="E115" i="75"/>
  <c r="C115" i="75"/>
  <c r="E117" i="76"/>
  <c r="B112" i="75" l="1"/>
  <c r="A112" i="75" s="1"/>
  <c r="A114" i="76"/>
  <c r="C116" i="75"/>
  <c r="E118" i="76"/>
  <c r="D118" i="76"/>
  <c r="E116" i="75"/>
  <c r="B113" i="75" l="1"/>
  <c r="A113" i="75" s="1"/>
  <c r="A115" i="76"/>
  <c r="D119" i="76"/>
  <c r="E117" i="75"/>
  <c r="E119" i="76"/>
  <c r="C117" i="75"/>
  <c r="B114" i="75" l="1"/>
  <c r="A114" i="75" s="1"/>
  <c r="A116" i="76"/>
  <c r="C118" i="75"/>
  <c r="E120" i="76"/>
  <c r="D120" i="76"/>
  <c r="E118" i="75"/>
  <c r="B115" i="75" l="1"/>
  <c r="A115" i="75" s="1"/>
  <c r="A117" i="76"/>
  <c r="D121" i="76"/>
  <c r="E119" i="75"/>
  <c r="E121" i="76"/>
  <c r="C119" i="75"/>
  <c r="B116" i="75" l="1"/>
  <c r="A116" i="75" s="1"/>
  <c r="A118" i="76"/>
  <c r="E122" i="76"/>
  <c r="C120" i="75"/>
  <c r="D122" i="76"/>
  <c r="E120" i="75"/>
  <c r="B117" i="75" l="1"/>
  <c r="A117" i="75" s="1"/>
  <c r="A119" i="76"/>
  <c r="E121" i="75"/>
  <c r="D123" i="76"/>
  <c r="C121" i="75"/>
  <c r="E123" i="76"/>
  <c r="B118" i="75" l="1"/>
  <c r="A118" i="75" s="1"/>
  <c r="A120" i="76"/>
  <c r="C122" i="75"/>
  <c r="E124" i="76"/>
  <c r="E122" i="75"/>
  <c r="D124" i="76"/>
  <c r="B119" i="75" l="1"/>
  <c r="A119" i="75" s="1"/>
  <c r="A121" i="76"/>
  <c r="D125" i="76"/>
  <c r="E123" i="75"/>
  <c r="C123" i="75"/>
  <c r="E125" i="76"/>
  <c r="B120" i="75" l="1"/>
  <c r="A120" i="75" s="1"/>
  <c r="A122" i="76"/>
  <c r="C124" i="75"/>
  <c r="E126" i="76"/>
  <c r="D126" i="76"/>
  <c r="E124" i="75"/>
  <c r="B121" i="75" l="1"/>
  <c r="A121" i="75" s="1"/>
  <c r="A123" i="76"/>
  <c r="E125" i="75"/>
  <c r="D127" i="76"/>
  <c r="E127" i="76"/>
  <c r="C125" i="75"/>
  <c r="B122" i="75" l="1"/>
  <c r="A122" i="75" s="1"/>
  <c r="A124" i="76"/>
  <c r="C126" i="75"/>
  <c r="E128" i="76"/>
  <c r="E126" i="75"/>
  <c r="D128" i="76"/>
  <c r="B123" i="75" l="1"/>
  <c r="A123" i="75" s="1"/>
  <c r="A125" i="76"/>
  <c r="E129" i="76"/>
  <c r="C127" i="75"/>
  <c r="D129" i="76"/>
  <c r="E127" i="75"/>
  <c r="B124" i="75" l="1"/>
  <c r="A124" i="75" s="1"/>
  <c r="A126" i="76"/>
  <c r="E128" i="75"/>
  <c r="D130" i="76"/>
  <c r="E130" i="76"/>
  <c r="C128" i="75"/>
  <c r="B125" i="75" l="1"/>
  <c r="A125" i="75" s="1"/>
  <c r="A127" i="76"/>
  <c r="C129" i="75"/>
  <c r="E131" i="76"/>
  <c r="D131" i="76"/>
  <c r="E129" i="75"/>
  <c r="B126" i="75" l="1"/>
  <c r="A126" i="75" s="1"/>
  <c r="A128" i="76"/>
  <c r="D132" i="76"/>
  <c r="E130" i="75"/>
  <c r="C130" i="75"/>
  <c r="E132" i="76"/>
  <c r="B127" i="75" l="1"/>
  <c r="A127" i="75" s="1"/>
  <c r="A129" i="76"/>
  <c r="D133" i="76"/>
  <c r="E131" i="75"/>
  <c r="C131" i="75"/>
  <c r="E133" i="76"/>
  <c r="B128" i="75" l="1"/>
  <c r="A128" i="75" s="1"/>
  <c r="A130" i="76"/>
  <c r="C132" i="75"/>
  <c r="E134" i="76"/>
  <c r="D134" i="76"/>
  <c r="E132" i="75"/>
  <c r="B129" i="75" l="1"/>
  <c r="A129" i="75" s="1"/>
  <c r="A131" i="76"/>
  <c r="E133" i="75"/>
  <c r="D135" i="76"/>
  <c r="C133" i="75"/>
  <c r="E135" i="76"/>
  <c r="B130" i="75" l="1"/>
  <c r="A130" i="75" s="1"/>
  <c r="A132" i="76"/>
  <c r="D136" i="76"/>
  <c r="E134" i="75"/>
  <c r="C134" i="75"/>
  <c r="E136" i="76"/>
  <c r="B131" i="75" l="1"/>
  <c r="A131" i="75" s="1"/>
  <c r="A133" i="76"/>
  <c r="C135" i="75"/>
  <c r="E137" i="76"/>
  <c r="E135" i="75"/>
  <c r="D137" i="76"/>
  <c r="B132" i="75" l="1"/>
  <c r="A132" i="75" s="1"/>
  <c r="A134" i="76"/>
  <c r="E136" i="75"/>
  <c r="D138" i="76"/>
  <c r="C136" i="75"/>
  <c r="E138" i="76"/>
  <c r="B133" i="75" l="1"/>
  <c r="A133" i="75" s="1"/>
  <c r="A135" i="76"/>
  <c r="E139" i="76"/>
  <c r="C137" i="75"/>
  <c r="D139" i="76"/>
  <c r="E137" i="75"/>
  <c r="B134" i="75" l="1"/>
  <c r="A134" i="75" s="1"/>
  <c r="A136" i="76"/>
  <c r="D140" i="76"/>
  <c r="E138" i="75"/>
  <c r="C138" i="75"/>
  <c r="E140" i="76"/>
  <c r="B135" i="75" l="1"/>
  <c r="A135" i="75" s="1"/>
  <c r="A137" i="76"/>
  <c r="C139" i="75"/>
  <c r="E141" i="76"/>
  <c r="E139" i="75"/>
  <c r="D141" i="76"/>
  <c r="B136" i="75" l="1"/>
  <c r="A136" i="75" s="1"/>
  <c r="A138" i="76"/>
  <c r="E140" i="75"/>
  <c r="D142" i="76"/>
  <c r="E142" i="76"/>
  <c r="C140" i="75"/>
  <c r="B137" i="75" l="1"/>
  <c r="A137" i="75" s="1"/>
  <c r="A139" i="76"/>
  <c r="C141" i="75"/>
  <c r="E143" i="76"/>
  <c r="E141" i="75"/>
  <c r="D143" i="76"/>
  <c r="B138" i="75" l="1"/>
  <c r="A138" i="75" s="1"/>
  <c r="A140" i="76"/>
  <c r="E142" i="75"/>
  <c r="D144" i="76"/>
  <c r="E144" i="76"/>
  <c r="C142" i="75"/>
  <c r="B139" i="75" l="1"/>
  <c r="A139" i="75" s="1"/>
  <c r="A141" i="76"/>
  <c r="C143" i="75"/>
  <c r="E145" i="76"/>
  <c r="D145" i="76"/>
  <c r="E143" i="75"/>
  <c r="B140" i="75" l="1"/>
  <c r="A140" i="75" s="1"/>
  <c r="A142" i="76"/>
  <c r="D146" i="76"/>
  <c r="E144" i="75"/>
  <c r="E146" i="76"/>
  <c r="C144" i="75"/>
  <c r="B141" i="75" l="1"/>
  <c r="A141" i="75" s="1"/>
  <c r="A143" i="76"/>
  <c r="E147" i="76"/>
  <c r="C145" i="75"/>
  <c r="D147" i="76"/>
  <c r="E145" i="75"/>
  <c r="B142" i="75" l="1"/>
  <c r="A142" i="75" s="1"/>
  <c r="A144" i="76"/>
  <c r="D148" i="76"/>
  <c r="E146" i="75"/>
  <c r="C146" i="75"/>
  <c r="E148" i="76"/>
  <c r="B143" i="75" l="1"/>
  <c r="A143" i="75" s="1"/>
  <c r="A145" i="76"/>
  <c r="C147" i="75"/>
  <c r="E149" i="76"/>
  <c r="D149" i="76"/>
  <c r="E147" i="75"/>
  <c r="B144" i="75" l="1"/>
  <c r="A144" i="75" s="1"/>
  <c r="A146" i="76"/>
  <c r="D150" i="76"/>
  <c r="E148" i="75"/>
  <c r="E150" i="76"/>
  <c r="C148" i="75"/>
  <c r="B145" i="75" l="1"/>
  <c r="A145" i="75" s="1"/>
  <c r="A147" i="76"/>
  <c r="E149" i="75"/>
  <c r="D151" i="76"/>
  <c r="E151" i="76"/>
  <c r="C149" i="75"/>
  <c r="B146" i="75" l="1"/>
  <c r="A146" i="75" s="1"/>
  <c r="A148" i="76"/>
  <c r="C150" i="75"/>
  <c r="E152" i="76"/>
  <c r="E150" i="75"/>
  <c r="D152" i="76"/>
  <c r="B147" i="75" l="1"/>
  <c r="A147" i="75" s="1"/>
  <c r="A149" i="76"/>
  <c r="E151" i="75"/>
  <c r="D153" i="76"/>
  <c r="C151" i="75"/>
  <c r="E153" i="76"/>
  <c r="B148" i="75" l="1"/>
  <c r="A148" i="75" s="1"/>
  <c r="A150" i="76"/>
  <c r="C152" i="75"/>
  <c r="E154" i="76"/>
  <c r="D154" i="76"/>
  <c r="E152" i="75"/>
  <c r="B149" i="75" l="1"/>
  <c r="A149" i="75" s="1"/>
  <c r="A151" i="76"/>
  <c r="E153" i="75"/>
  <c r="D155" i="76"/>
  <c r="C153" i="75"/>
  <c r="E155" i="76"/>
  <c r="B150" i="75" l="1"/>
  <c r="A150" i="75" s="1"/>
  <c r="A152" i="76"/>
  <c r="C154" i="75"/>
  <c r="E156" i="76"/>
  <c r="D156" i="76"/>
  <c r="E154" i="75"/>
  <c r="B151" i="75" l="1"/>
  <c r="A151" i="75" s="1"/>
  <c r="A153" i="76"/>
  <c r="D157" i="76"/>
  <c r="E155" i="75"/>
  <c r="C155" i="75"/>
  <c r="E157" i="76"/>
  <c r="B152" i="75" l="1"/>
  <c r="A152" i="75" s="1"/>
  <c r="A154" i="76"/>
  <c r="C156" i="75"/>
  <c r="E158" i="76"/>
  <c r="E156" i="75"/>
  <c r="D158" i="76"/>
  <c r="B153" i="75" l="1"/>
  <c r="A153" i="75" s="1"/>
  <c r="A155" i="76"/>
  <c r="E157" i="75"/>
  <c r="D159" i="76"/>
  <c r="C157" i="75"/>
  <c r="E159" i="76"/>
  <c r="B154" i="75" l="1"/>
  <c r="A154" i="75" s="1"/>
  <c r="A156" i="76"/>
  <c r="C158" i="75"/>
  <c r="E160" i="76"/>
  <c r="D160" i="76"/>
  <c r="E158" i="75"/>
  <c r="B155" i="75" l="1"/>
  <c r="A155" i="75" s="1"/>
  <c r="A157" i="76"/>
  <c r="E159" i="75"/>
  <c r="D161" i="76"/>
  <c r="E161" i="76"/>
  <c r="C159" i="75"/>
  <c r="B156" i="75" l="1"/>
  <c r="A156" i="75" s="1"/>
  <c r="A158" i="76"/>
  <c r="C160" i="75"/>
  <c r="E162" i="76"/>
  <c r="D162" i="76"/>
  <c r="E160" i="75"/>
  <c r="B157" i="75" l="1"/>
  <c r="A157" i="75" s="1"/>
  <c r="A159" i="76"/>
  <c r="D163" i="76"/>
  <c r="E161" i="75"/>
  <c r="E163" i="76"/>
  <c r="C161" i="75"/>
  <c r="B158" i="75" l="1"/>
  <c r="A158" i="75" s="1"/>
  <c r="A160" i="76"/>
  <c r="E164" i="76"/>
  <c r="C162" i="75"/>
  <c r="E162" i="75"/>
  <c r="D164" i="76"/>
  <c r="B159" i="75" l="1"/>
  <c r="A159" i="75" s="1"/>
  <c r="A161" i="76"/>
  <c r="E163" i="75"/>
  <c r="D165" i="76"/>
  <c r="C163" i="75"/>
  <c r="E165" i="76"/>
  <c r="B160" i="75" l="1"/>
  <c r="A160" i="75" s="1"/>
  <c r="A162" i="76"/>
  <c r="E166" i="76"/>
  <c r="C164" i="75"/>
  <c r="E164" i="75"/>
  <c r="D166" i="76"/>
  <c r="B161" i="75" l="1"/>
  <c r="A161" i="75" s="1"/>
  <c r="A163" i="76"/>
  <c r="E165" i="75"/>
  <c r="D167" i="76"/>
  <c r="C165" i="75"/>
  <c r="E167" i="76"/>
  <c r="B162" i="75" l="1"/>
  <c r="A162" i="75" s="1"/>
  <c r="A164" i="76"/>
  <c r="E168" i="76"/>
  <c r="C166" i="75"/>
  <c r="E166" i="75"/>
  <c r="D168" i="76"/>
  <c r="B163" i="75" l="1"/>
  <c r="A163" i="75" s="1"/>
  <c r="A165" i="76"/>
  <c r="C167" i="75"/>
  <c r="E169" i="76"/>
  <c r="E167" i="75"/>
  <c r="D169" i="76"/>
  <c r="B164" i="75" l="1"/>
  <c r="A164" i="75" s="1"/>
  <c r="A166" i="76"/>
  <c r="E168" i="75"/>
  <c r="D170" i="76"/>
  <c r="C168" i="75"/>
  <c r="E170" i="76"/>
  <c r="B165" i="75" l="1"/>
  <c r="A165" i="75" s="1"/>
  <c r="A167" i="76"/>
  <c r="D171" i="76"/>
  <c r="E169" i="75"/>
  <c r="E171" i="76"/>
  <c r="C169" i="75"/>
  <c r="B166" i="75" l="1"/>
  <c r="A166" i="75" s="1"/>
  <c r="A168" i="76"/>
  <c r="C170" i="75"/>
  <c r="E172" i="76"/>
  <c r="E170" i="75"/>
  <c r="D172" i="76"/>
  <c r="B167" i="75" l="1"/>
  <c r="A167" i="75" s="1"/>
  <c r="A169" i="76"/>
  <c r="D173" i="76"/>
  <c r="E171" i="75"/>
  <c r="E173" i="76"/>
  <c r="C171" i="75"/>
  <c r="B168" i="75" l="1"/>
  <c r="A168" i="75" s="1"/>
  <c r="A170" i="76"/>
  <c r="C172" i="75"/>
  <c r="E174" i="76"/>
  <c r="D174" i="76"/>
  <c r="E172" i="75"/>
  <c r="B169" i="75" l="1"/>
  <c r="A169" i="75" s="1"/>
  <c r="A171" i="76"/>
  <c r="C173" i="75"/>
  <c r="E175" i="76"/>
  <c r="E173" i="75"/>
  <c r="D175" i="76"/>
  <c r="B170" i="75" l="1"/>
  <c r="A170" i="75" s="1"/>
  <c r="A172" i="76"/>
  <c r="E176" i="76"/>
  <c r="C174" i="75"/>
  <c r="D176" i="76"/>
  <c r="E174" i="75"/>
  <c r="B171" i="75" l="1"/>
  <c r="A171" i="75" s="1"/>
  <c r="A173" i="76"/>
  <c r="E175" i="75"/>
  <c r="D177" i="76"/>
  <c r="E177" i="76"/>
  <c r="C175" i="75"/>
  <c r="B172" i="75" l="1"/>
  <c r="A172" i="75" s="1"/>
  <c r="A174" i="76"/>
  <c r="C176" i="75"/>
  <c r="E178" i="76"/>
  <c r="E176" i="75"/>
  <c r="D178" i="76"/>
  <c r="B173" i="75" l="1"/>
  <c r="A173" i="75" s="1"/>
  <c r="A175" i="76"/>
  <c r="D179" i="76"/>
  <c r="E177" i="75"/>
  <c r="E179" i="76"/>
  <c r="C177" i="75"/>
  <c r="B174" i="75" l="1"/>
  <c r="A174" i="75" s="1"/>
  <c r="A176" i="76"/>
  <c r="E178" i="75"/>
  <c r="D180" i="76"/>
  <c r="E180" i="76"/>
  <c r="C178" i="75"/>
  <c r="B175" i="75" l="1"/>
  <c r="A175" i="75" s="1"/>
  <c r="A177" i="76"/>
  <c r="E181" i="76"/>
  <c r="C179" i="75"/>
  <c r="E179" i="75"/>
  <c r="D181" i="76"/>
  <c r="B176" i="75" l="1"/>
  <c r="A176" i="75" s="1"/>
  <c r="A178" i="76"/>
  <c r="D182" i="76"/>
  <c r="E180" i="75"/>
  <c r="C180" i="75"/>
  <c r="E182" i="76"/>
  <c r="B177" i="75" l="1"/>
  <c r="A177" i="75" s="1"/>
  <c r="A179" i="76"/>
  <c r="E181" i="75"/>
  <c r="D183" i="76"/>
  <c r="E183" i="76"/>
  <c r="C181" i="75"/>
  <c r="B178" i="75" l="1"/>
  <c r="A178" i="75" s="1"/>
  <c r="A180" i="76"/>
  <c r="E184" i="76"/>
  <c r="C182" i="75"/>
  <c r="E182" i="75"/>
  <c r="D184" i="76"/>
  <c r="B179" i="75" l="1"/>
  <c r="A179" i="75" s="1"/>
  <c r="A181" i="76"/>
  <c r="D185" i="76"/>
  <c r="E183" i="75"/>
  <c r="C183" i="75"/>
  <c r="E185" i="76"/>
  <c r="B180" i="75" l="1"/>
  <c r="A180" i="75" s="1"/>
  <c r="A182" i="76"/>
  <c r="E184" i="75"/>
  <c r="D186" i="76"/>
  <c r="C184" i="75"/>
  <c r="E186" i="76"/>
  <c r="B181" i="75" l="1"/>
  <c r="A181" i="75" s="1"/>
  <c r="A183" i="76"/>
  <c r="C185" i="75"/>
  <c r="E187" i="76"/>
  <c r="E185" i="75"/>
  <c r="D187" i="76"/>
  <c r="B182" i="75" l="1"/>
  <c r="A182" i="75" s="1"/>
  <c r="A184" i="76"/>
  <c r="E186" i="75"/>
  <c r="D188" i="76"/>
  <c r="E188" i="76"/>
  <c r="C186" i="75"/>
  <c r="B183" i="75" l="1"/>
  <c r="A183" i="75" s="1"/>
  <c r="A185" i="76"/>
  <c r="E187" i="75"/>
  <c r="D189" i="76"/>
  <c r="C187" i="75"/>
  <c r="E189" i="76"/>
  <c r="B184" i="75" l="1"/>
  <c r="A184" i="75" s="1"/>
  <c r="A186" i="76"/>
  <c r="E188" i="75"/>
  <c r="D190" i="76"/>
  <c r="C188" i="75"/>
  <c r="E190" i="76"/>
  <c r="B185" i="75" l="1"/>
  <c r="A185" i="75" s="1"/>
  <c r="A187" i="76"/>
  <c r="E189" i="75"/>
  <c r="D191" i="76"/>
  <c r="C189" i="75"/>
  <c r="E191" i="76"/>
  <c r="B186" i="75" l="1"/>
  <c r="A186" i="75" s="1"/>
  <c r="A188" i="76"/>
  <c r="E192" i="76"/>
  <c r="C190" i="75"/>
  <c r="D192" i="76"/>
  <c r="E190" i="75"/>
  <c r="B187" i="75" l="1"/>
  <c r="A187" i="75" s="1"/>
  <c r="A189" i="76"/>
  <c r="E191" i="75"/>
  <c r="D193" i="76"/>
  <c r="C191" i="75"/>
  <c r="E193" i="76"/>
  <c r="B188" i="75" l="1"/>
  <c r="A188" i="75" s="1"/>
  <c r="A190" i="76"/>
  <c r="E194" i="76"/>
  <c r="C192" i="75"/>
  <c r="E192" i="75"/>
  <c r="D194" i="76"/>
  <c r="B189" i="75" l="1"/>
  <c r="A189" i="75" s="1"/>
  <c r="A191" i="76"/>
  <c r="E193" i="75"/>
  <c r="D195" i="76"/>
  <c r="C193" i="75"/>
  <c r="E195" i="76"/>
  <c r="B190" i="75" l="1"/>
  <c r="A190" i="75" s="1"/>
  <c r="A192" i="76"/>
  <c r="C194" i="75"/>
  <c r="E196" i="76"/>
  <c r="D196" i="76"/>
  <c r="E194" i="75"/>
  <c r="B191" i="75" l="1"/>
  <c r="A191" i="75" s="1"/>
  <c r="A193" i="76"/>
  <c r="D197" i="76"/>
  <c r="E195" i="75"/>
  <c r="E197" i="76"/>
  <c r="C195" i="75"/>
  <c r="B192" i="75" l="1"/>
  <c r="A192" i="75" s="1"/>
  <c r="A194" i="76"/>
  <c r="C196" i="75"/>
  <c r="E198" i="76"/>
  <c r="E196" i="75"/>
  <c r="D198" i="76"/>
  <c r="B193" i="75" l="1"/>
  <c r="A193" i="75" s="1"/>
  <c r="A195" i="76"/>
  <c r="E197" i="75"/>
  <c r="D199" i="76"/>
  <c r="C197" i="75"/>
  <c r="E199" i="76"/>
  <c r="B194" i="75" l="1"/>
  <c r="A194" i="75" s="1"/>
  <c r="A196" i="76"/>
  <c r="C198" i="75"/>
  <c r="E200" i="76"/>
  <c r="E198" i="75"/>
  <c r="D200" i="76"/>
  <c r="B195" i="75" l="1"/>
  <c r="A195" i="75" s="1"/>
  <c r="A197" i="76"/>
  <c r="D201" i="76"/>
  <c r="E199" i="75"/>
  <c r="E201" i="76"/>
  <c r="C199" i="75"/>
  <c r="B196" i="75" l="1"/>
  <c r="A196" i="75" s="1"/>
  <c r="A198" i="76"/>
  <c r="D202" i="76"/>
  <c r="E200" i="75"/>
  <c r="E202" i="76"/>
  <c r="C200" i="75"/>
  <c r="B197" i="75" l="1"/>
  <c r="A197" i="75" s="1"/>
  <c r="A199" i="76"/>
  <c r="E203" i="76"/>
  <c r="C201" i="75"/>
  <c r="E201" i="75"/>
  <c r="D203" i="76"/>
  <c r="B198" i="75" l="1"/>
  <c r="A198" i="75" s="1"/>
  <c r="A200" i="76"/>
  <c r="C202" i="75"/>
  <c r="E204" i="76"/>
  <c r="E202" i="75"/>
  <c r="D204" i="76"/>
  <c r="B199" i="75" l="1"/>
  <c r="A199" i="75" s="1"/>
  <c r="A201" i="76"/>
  <c r="E203" i="75"/>
  <c r="D205" i="76"/>
  <c r="C203" i="75"/>
  <c r="E205" i="76"/>
  <c r="B200" i="75" l="1"/>
  <c r="A200" i="75" s="1"/>
  <c r="A202" i="76"/>
  <c r="C204" i="75"/>
  <c r="E206" i="76"/>
  <c r="E204" i="75"/>
  <c r="D206" i="76"/>
  <c r="B201" i="75" l="1"/>
  <c r="A201" i="75" s="1"/>
  <c r="A203" i="76"/>
  <c r="E205" i="75"/>
  <c r="D207" i="76"/>
  <c r="E207" i="76"/>
  <c r="C205" i="75"/>
  <c r="B202" i="75" l="1"/>
  <c r="A202" i="75" s="1"/>
  <c r="A204" i="76"/>
  <c r="C206" i="75"/>
  <c r="E208" i="76"/>
  <c r="E206" i="75"/>
  <c r="D208" i="76"/>
  <c r="B203" i="75" l="1"/>
  <c r="A203" i="75" s="1"/>
  <c r="A205" i="76"/>
  <c r="D209" i="76"/>
  <c r="E207" i="75"/>
  <c r="E209" i="76"/>
  <c r="C207" i="75"/>
  <c r="B204" i="75" l="1"/>
  <c r="A204" i="75" s="1"/>
  <c r="A206" i="76"/>
  <c r="D210" i="76"/>
  <c r="E208" i="75"/>
  <c r="C208" i="75"/>
  <c r="E210" i="76"/>
  <c r="B205" i="75" l="1"/>
  <c r="A205" i="75" s="1"/>
  <c r="A207" i="76"/>
  <c r="D211" i="76"/>
  <c r="E209" i="75"/>
  <c r="C209" i="75"/>
  <c r="E211" i="76"/>
  <c r="B206" i="75" l="1"/>
  <c r="A206" i="75" s="1"/>
  <c r="A208" i="76"/>
  <c r="D212" i="76"/>
  <c r="E210" i="75"/>
  <c r="E212" i="76"/>
  <c r="C210" i="75"/>
  <c r="B207" i="75" l="1"/>
  <c r="A207" i="75" s="1"/>
  <c r="A209" i="76"/>
  <c r="C211" i="75"/>
  <c r="E213" i="76"/>
  <c r="E211" i="75"/>
  <c r="D213" i="76"/>
  <c r="B208" i="75" l="1"/>
  <c r="A208" i="75" s="1"/>
  <c r="A210" i="76"/>
  <c r="E212" i="75"/>
  <c r="D214" i="76"/>
  <c r="E214" i="76"/>
  <c r="C212" i="75"/>
  <c r="B209" i="75" l="1"/>
  <c r="A209" i="75" s="1"/>
  <c r="A211" i="76"/>
  <c r="E215" i="76"/>
  <c r="C213" i="75"/>
  <c r="E213" i="75"/>
  <c r="D215" i="76"/>
  <c r="B210" i="75" l="1"/>
  <c r="A210" i="75" s="1"/>
  <c r="A212" i="76"/>
  <c r="E214" i="75"/>
  <c r="D216" i="76"/>
  <c r="C214" i="75"/>
  <c r="E216" i="76"/>
  <c r="B211" i="75" l="1"/>
  <c r="A211" i="75" s="1"/>
  <c r="A213" i="76"/>
  <c r="E217" i="76"/>
  <c r="C215" i="75"/>
  <c r="E215" i="75"/>
  <c r="D217" i="76"/>
  <c r="B212" i="75" l="1"/>
  <c r="A212" i="75" s="1"/>
  <c r="A214" i="76"/>
  <c r="E216" i="75"/>
  <c r="D218" i="76"/>
  <c r="E218" i="76"/>
  <c r="C216" i="75"/>
  <c r="B213" i="75" l="1"/>
  <c r="A213" i="75" s="1"/>
  <c r="A215" i="76"/>
  <c r="C217" i="75"/>
  <c r="E219" i="76"/>
  <c r="E217" i="75"/>
  <c r="D219" i="76"/>
  <c r="B214" i="75" l="1"/>
  <c r="A214" i="75" s="1"/>
  <c r="A216" i="76"/>
  <c r="E218" i="75"/>
  <c r="D220" i="76"/>
  <c r="C218" i="75"/>
  <c r="E220" i="76"/>
  <c r="B215" i="75" l="1"/>
  <c r="A215" i="75" s="1"/>
  <c r="A217" i="76"/>
  <c r="E221" i="76"/>
  <c r="C219" i="75"/>
  <c r="D221" i="76"/>
  <c r="E219" i="75"/>
  <c r="B216" i="75" l="1"/>
  <c r="A216" i="75" s="1"/>
  <c r="A218" i="76"/>
  <c r="E220" i="75"/>
  <c r="D222" i="76"/>
  <c r="E222" i="76"/>
  <c r="C220" i="75"/>
  <c r="B217" i="75" l="1"/>
  <c r="A217" i="75" s="1"/>
  <c r="A219" i="76"/>
  <c r="C221" i="75"/>
  <c r="E223" i="76"/>
  <c r="E221" i="75"/>
  <c r="D223" i="76"/>
  <c r="B218" i="75" l="1"/>
  <c r="A218" i="75" s="1"/>
  <c r="A220" i="76"/>
  <c r="E222" i="75"/>
  <c r="D224" i="76"/>
  <c r="E224" i="76"/>
  <c r="C222" i="75"/>
  <c r="B219" i="75" l="1"/>
  <c r="A219" i="75" s="1"/>
  <c r="A221" i="76"/>
  <c r="E225" i="76"/>
  <c r="C223" i="75"/>
  <c r="D225" i="76"/>
  <c r="E223" i="75"/>
  <c r="B220" i="75" l="1"/>
  <c r="A220" i="75" s="1"/>
  <c r="A222" i="76"/>
  <c r="D226" i="76"/>
  <c r="E224" i="75"/>
  <c r="C224" i="75"/>
  <c r="E226" i="76"/>
  <c r="B221" i="75" l="1"/>
  <c r="A221" i="75" s="1"/>
  <c r="A223" i="76"/>
  <c r="C225" i="75"/>
  <c r="E227" i="76"/>
  <c r="E225" i="75"/>
  <c r="D227" i="76"/>
  <c r="B222" i="75" l="1"/>
  <c r="A222" i="75" s="1"/>
  <c r="A224" i="76"/>
  <c r="D228" i="76"/>
  <c r="E226" i="75"/>
  <c r="C226" i="75"/>
  <c r="E228" i="76"/>
  <c r="B223" i="75" l="1"/>
  <c r="A223" i="75" s="1"/>
  <c r="A225" i="76"/>
  <c r="E229" i="76"/>
  <c r="C227" i="75"/>
  <c r="E227" i="75"/>
  <c r="D229" i="76"/>
  <c r="B224" i="75" l="1"/>
  <c r="A224" i="75" s="1"/>
  <c r="A226" i="76"/>
  <c r="E228" i="75"/>
  <c r="D230" i="76"/>
  <c r="C228" i="75"/>
  <c r="E230" i="76"/>
  <c r="B225" i="75" l="1"/>
  <c r="A225" i="75" s="1"/>
  <c r="A227" i="76"/>
  <c r="E231" i="76"/>
  <c r="C229" i="75"/>
  <c r="E229" i="75"/>
  <c r="D231" i="76"/>
  <c r="B226" i="75" l="1"/>
  <c r="A226" i="75" s="1"/>
  <c r="A228" i="76"/>
  <c r="E230" i="75"/>
  <c r="D232" i="76"/>
  <c r="E232" i="76"/>
  <c r="C230" i="75"/>
  <c r="B227" i="75" l="1"/>
  <c r="A227" i="75" s="1"/>
  <c r="A229" i="76"/>
  <c r="E233" i="76"/>
  <c r="C231" i="75"/>
  <c r="E231" i="75"/>
  <c r="D233" i="76"/>
  <c r="B228" i="75" l="1"/>
  <c r="A228" i="75" s="1"/>
  <c r="A230" i="76"/>
  <c r="E232" i="75"/>
  <c r="D234" i="76"/>
  <c r="E234" i="76"/>
  <c r="C232" i="75"/>
  <c r="B229" i="75" l="1"/>
  <c r="A229" i="75" s="1"/>
  <c r="A231" i="76"/>
  <c r="C233" i="75"/>
  <c r="E235" i="76"/>
  <c r="E233" i="75"/>
  <c r="D235" i="76"/>
  <c r="B230" i="75" l="1"/>
  <c r="A230" i="75" s="1"/>
  <c r="A232" i="76"/>
  <c r="E234" i="75"/>
  <c r="D236" i="76"/>
  <c r="C234" i="75"/>
  <c r="E236" i="76"/>
  <c r="B231" i="75" l="1"/>
  <c r="A231" i="75" s="1"/>
  <c r="A233" i="76"/>
  <c r="C235" i="75"/>
  <c r="E237" i="76"/>
  <c r="E235" i="75"/>
  <c r="D237" i="76"/>
  <c r="B232" i="75" l="1"/>
  <c r="A232" i="75" s="1"/>
  <c r="A234" i="76"/>
  <c r="D238" i="76"/>
  <c r="E236" i="75"/>
  <c r="E238" i="76"/>
  <c r="C236" i="75"/>
  <c r="B233" i="75" l="1"/>
  <c r="A233" i="75" s="1"/>
  <c r="A235" i="76"/>
  <c r="E237" i="75"/>
  <c r="D239" i="76"/>
  <c r="C237" i="75"/>
  <c r="E239" i="76"/>
  <c r="B234" i="75" l="1"/>
  <c r="A234" i="75" s="1"/>
  <c r="A236" i="76"/>
  <c r="E238" i="75"/>
  <c r="D240" i="76"/>
  <c r="C238" i="75"/>
  <c r="E240" i="76"/>
  <c r="B235" i="75" l="1"/>
  <c r="A235" i="75" s="1"/>
  <c r="A237" i="76"/>
  <c r="E241" i="76"/>
  <c r="C239" i="75"/>
  <c r="E239" i="75"/>
  <c r="D241" i="76"/>
  <c r="B236" i="75" l="1"/>
  <c r="A236" i="75" s="1"/>
  <c r="A238" i="76"/>
  <c r="D242" i="76"/>
  <c r="E240" i="75"/>
  <c r="E242" i="76"/>
  <c r="C240" i="75"/>
  <c r="B237" i="75" l="1"/>
  <c r="A237" i="75" s="1"/>
  <c r="A239" i="76"/>
  <c r="E243" i="76"/>
  <c r="C241" i="75"/>
  <c r="E241" i="75"/>
  <c r="D243" i="76"/>
  <c r="B238" i="75" l="1"/>
  <c r="A238" i="75" s="1"/>
  <c r="A240" i="76"/>
  <c r="E242" i="75"/>
  <c r="D244" i="76"/>
  <c r="C242" i="75"/>
  <c r="E244" i="76"/>
  <c r="B239" i="75" l="1"/>
  <c r="A239" i="75" s="1"/>
  <c r="A241" i="76"/>
  <c r="E245" i="76"/>
  <c r="C243" i="75"/>
  <c r="D245" i="76"/>
  <c r="E243" i="75"/>
  <c r="B240" i="75" l="1"/>
  <c r="A240" i="75" s="1"/>
  <c r="A242" i="76"/>
  <c r="E244" i="75"/>
  <c r="D246" i="76"/>
  <c r="C244" i="75"/>
  <c r="E246" i="76"/>
  <c r="B241" i="75" l="1"/>
  <c r="A241" i="75" s="1"/>
  <c r="A243" i="76"/>
  <c r="C245" i="75"/>
  <c r="E247" i="76"/>
  <c r="E245" i="75"/>
  <c r="D247" i="76"/>
  <c r="B242" i="75" l="1"/>
  <c r="A242" i="75" s="1"/>
  <c r="A244" i="76"/>
  <c r="E246" i="75"/>
  <c r="D248" i="76"/>
  <c r="C246" i="75"/>
  <c r="E248" i="76"/>
  <c r="B243" i="75" l="1"/>
  <c r="A243" i="75" s="1"/>
  <c r="A245" i="76"/>
  <c r="C247" i="75"/>
  <c r="E249" i="76"/>
  <c r="D249" i="76"/>
  <c r="E247" i="75"/>
  <c r="B244" i="75" l="1"/>
  <c r="A244" i="75" s="1"/>
  <c r="A246" i="76"/>
  <c r="E248" i="75"/>
  <c r="D250" i="76"/>
  <c r="E250" i="76"/>
  <c r="C248" i="75"/>
  <c r="B245" i="75" l="1"/>
  <c r="A245" i="75" s="1"/>
  <c r="A247" i="76"/>
  <c r="D251" i="76"/>
  <c r="E249" i="75"/>
  <c r="E251" i="76"/>
  <c r="C249" i="75"/>
  <c r="B246" i="75" l="1"/>
  <c r="A246" i="75" s="1"/>
  <c r="A248" i="76"/>
  <c r="E252" i="76"/>
  <c r="C250" i="75"/>
  <c r="E250" i="75"/>
  <c r="D252" i="76"/>
  <c r="B247" i="75" l="1"/>
  <c r="A247" i="75" s="1"/>
  <c r="A249" i="76"/>
  <c r="E251" i="75"/>
  <c r="D253" i="76"/>
  <c r="C251" i="75"/>
  <c r="E253" i="76"/>
  <c r="B248" i="75" l="1"/>
  <c r="A248" i="75" s="1"/>
  <c r="A250" i="76"/>
  <c r="C252" i="75"/>
  <c r="E254" i="76"/>
  <c r="D254" i="76"/>
  <c r="E252" i="75"/>
  <c r="B249" i="75" l="1"/>
  <c r="A249" i="75" s="1"/>
  <c r="A251" i="76"/>
  <c r="E253" i="75"/>
  <c r="D255" i="76"/>
  <c r="C253" i="75"/>
  <c r="E255" i="76"/>
  <c r="B250" i="75" l="1"/>
  <c r="A250" i="75" s="1"/>
  <c r="A252" i="76"/>
  <c r="C254" i="75"/>
  <c r="E256" i="76"/>
  <c r="D256" i="76"/>
  <c r="E254" i="75"/>
  <c r="B251" i="75" l="1"/>
  <c r="A251" i="75" s="1"/>
  <c r="A253" i="76"/>
  <c r="E257" i="76"/>
  <c r="C255" i="75"/>
  <c r="D257" i="76"/>
  <c r="E255" i="75"/>
  <c r="B252" i="75" l="1"/>
  <c r="A252" i="75" s="1"/>
  <c r="A254" i="76"/>
  <c r="E256" i="75"/>
  <c r="D258" i="76"/>
  <c r="C256" i="75"/>
  <c r="E258" i="76"/>
  <c r="B253" i="75" l="1"/>
  <c r="A253" i="75" s="1"/>
  <c r="A255" i="76"/>
  <c r="C257" i="75"/>
  <c r="E259" i="76"/>
  <c r="E257" i="75"/>
  <c r="D259" i="76"/>
  <c r="B254" i="75" l="1"/>
  <c r="A254" i="75" s="1"/>
  <c r="A256" i="76"/>
  <c r="E258" i="75"/>
  <c r="D260" i="76"/>
  <c r="C258" i="75"/>
  <c r="E260" i="76"/>
  <c r="B255" i="75" l="1"/>
  <c r="A255" i="75" s="1"/>
  <c r="A257" i="76"/>
  <c r="E259" i="75"/>
  <c r="D261" i="76"/>
  <c r="C259" i="75"/>
  <c r="E261" i="76"/>
  <c r="B256" i="75" l="1"/>
  <c r="A256" i="75" s="1"/>
  <c r="A258" i="76"/>
  <c r="E262" i="76"/>
  <c r="C260" i="75"/>
  <c r="E260" i="75"/>
  <c r="D262" i="76"/>
  <c r="B257" i="75" l="1"/>
  <c r="A257" i="75" s="1"/>
  <c r="A259" i="76"/>
  <c r="E261" i="75"/>
  <c r="D263" i="76"/>
  <c r="E263" i="76"/>
  <c r="C261" i="75"/>
  <c r="B258" i="75" l="1"/>
  <c r="A258" i="75" s="1"/>
  <c r="A260" i="76"/>
  <c r="C262" i="75"/>
  <c r="E264" i="76"/>
  <c r="D264" i="76"/>
  <c r="E262" i="75"/>
  <c r="B259" i="75" l="1"/>
  <c r="A259" i="75" s="1"/>
  <c r="A261" i="76"/>
  <c r="E263" i="75"/>
  <c r="D265" i="76"/>
  <c r="C263" i="75"/>
  <c r="E265" i="76"/>
  <c r="B260" i="75" l="1"/>
  <c r="A260" i="75" s="1"/>
  <c r="A262" i="76"/>
  <c r="C264" i="75"/>
  <c r="E266" i="76"/>
  <c r="E264" i="75"/>
  <c r="D266" i="76"/>
  <c r="B261" i="75" l="1"/>
  <c r="A261" i="75" s="1"/>
  <c r="A263" i="76"/>
  <c r="E265" i="75"/>
  <c r="D267" i="76"/>
  <c r="C265" i="75"/>
  <c r="E267" i="76"/>
  <c r="B262" i="75" l="1"/>
  <c r="A262" i="75" s="1"/>
  <c r="A264" i="76"/>
  <c r="E268" i="76"/>
  <c r="C266" i="75"/>
  <c r="D268" i="76"/>
  <c r="E266" i="75"/>
  <c r="B263" i="75" l="1"/>
  <c r="A263" i="75" s="1"/>
  <c r="A265" i="76"/>
  <c r="C267" i="75"/>
  <c r="E269" i="76"/>
  <c r="E267" i="75"/>
  <c r="D269" i="76"/>
  <c r="B264" i="75" l="1"/>
  <c r="A264" i="75" s="1"/>
  <c r="A266" i="76"/>
  <c r="E268" i="75"/>
  <c r="D270" i="76"/>
  <c r="C268" i="75"/>
  <c r="E270" i="76"/>
  <c r="B265" i="75" l="1"/>
  <c r="A265" i="75" s="1"/>
  <c r="A267" i="76"/>
  <c r="E271" i="76"/>
  <c r="C269" i="75"/>
  <c r="E269" i="75"/>
  <c r="D271" i="76"/>
  <c r="B266" i="75" l="1"/>
  <c r="A266" i="75" s="1"/>
  <c r="A268" i="76"/>
  <c r="E270" i="75"/>
  <c r="D272" i="76"/>
  <c r="C270" i="75"/>
  <c r="E272" i="76"/>
  <c r="B267" i="75" l="1"/>
  <c r="A267" i="75" s="1"/>
  <c r="A269" i="76"/>
  <c r="D273" i="76"/>
  <c r="E271" i="75"/>
  <c r="E273" i="76"/>
  <c r="C271" i="75"/>
  <c r="B268" i="75" l="1"/>
  <c r="A268" i="75" s="1"/>
  <c r="A270" i="76"/>
  <c r="E274" i="76"/>
  <c r="C272" i="75"/>
  <c r="E272" i="75"/>
  <c r="D274" i="76"/>
  <c r="B269" i="75" l="1"/>
  <c r="A269" i="75" s="1"/>
  <c r="A271" i="76"/>
  <c r="E273" i="75"/>
  <c r="D275" i="76"/>
  <c r="E275" i="76"/>
  <c r="C273" i="75"/>
  <c r="B270" i="75" l="1"/>
  <c r="A270" i="75" s="1"/>
  <c r="A272" i="76"/>
  <c r="C274" i="75"/>
  <c r="E276" i="76"/>
  <c r="D276" i="76"/>
  <c r="E274" i="75"/>
  <c r="B271" i="75" l="1"/>
  <c r="A271" i="75" s="1"/>
  <c r="A273" i="76"/>
  <c r="E275" i="75"/>
  <c r="D277" i="76"/>
  <c r="C275" i="75"/>
  <c r="E277" i="76"/>
  <c r="B272" i="75" l="1"/>
  <c r="A272" i="75" s="1"/>
  <c r="A274" i="76"/>
  <c r="E278" i="76"/>
  <c r="C276" i="75"/>
  <c r="E276" i="75"/>
  <c r="D278" i="76"/>
  <c r="B273" i="75" l="1"/>
  <c r="A273" i="75" s="1"/>
  <c r="A275" i="76"/>
  <c r="D279" i="76"/>
  <c r="E277" i="75"/>
  <c r="C277" i="75"/>
  <c r="E279" i="76"/>
  <c r="B274" i="75" l="1"/>
  <c r="A274" i="75" s="1"/>
  <c r="A276" i="76"/>
  <c r="C278" i="75"/>
  <c r="E280" i="76"/>
  <c r="E278" i="75"/>
  <c r="D280" i="76"/>
  <c r="B275" i="75" l="1"/>
  <c r="A275" i="75" s="1"/>
  <c r="A277" i="76"/>
  <c r="E279" i="75"/>
  <c r="D281" i="76"/>
  <c r="C279" i="75"/>
  <c r="E281" i="76"/>
  <c r="B276" i="75" l="1"/>
  <c r="A276" i="75" s="1"/>
  <c r="A278" i="76"/>
  <c r="C280" i="75"/>
  <c r="E282" i="76"/>
  <c r="E280" i="75"/>
  <c r="D282" i="76"/>
  <c r="B277" i="75" l="1"/>
  <c r="A277" i="75" s="1"/>
  <c r="A279" i="76"/>
  <c r="E281" i="75"/>
  <c r="D283" i="76"/>
  <c r="E283" i="76"/>
  <c r="C281" i="75"/>
  <c r="B278" i="75" l="1"/>
  <c r="A278" i="75" s="1"/>
  <c r="A280" i="76"/>
  <c r="C282" i="75"/>
  <c r="E284" i="76"/>
  <c r="D284" i="76"/>
  <c r="E282" i="75"/>
  <c r="B279" i="75" l="1"/>
  <c r="A279" i="75" s="1"/>
  <c r="A281" i="76"/>
  <c r="E283" i="75"/>
  <c r="D285" i="76"/>
  <c r="C283" i="75"/>
  <c r="E285" i="76"/>
  <c r="B280" i="75" l="1"/>
  <c r="A280" i="75" s="1"/>
  <c r="A282" i="76"/>
  <c r="C284" i="75"/>
  <c r="E286" i="76"/>
  <c r="E284" i="75"/>
  <c r="D286" i="76"/>
  <c r="B281" i="75" l="1"/>
  <c r="A281" i="75" s="1"/>
  <c r="A283" i="76"/>
  <c r="E285" i="75"/>
  <c r="D287" i="76"/>
  <c r="C285" i="75"/>
  <c r="E287" i="76"/>
  <c r="B282" i="75" l="1"/>
  <c r="A282" i="75" s="1"/>
  <c r="A284" i="76"/>
  <c r="C286" i="75"/>
  <c r="E288" i="76"/>
  <c r="E286" i="75"/>
  <c r="D288" i="76"/>
  <c r="B283" i="75" l="1"/>
  <c r="A283" i="75" s="1"/>
  <c r="A285" i="76"/>
  <c r="E287" i="75"/>
  <c r="D289" i="76"/>
  <c r="C287" i="75"/>
  <c r="E289" i="76"/>
  <c r="B284" i="75" l="1"/>
  <c r="A284" i="75" s="1"/>
  <c r="A286" i="76"/>
  <c r="C288" i="75"/>
  <c r="E290" i="76"/>
  <c r="E288" i="75"/>
  <c r="D290" i="76"/>
  <c r="B285" i="75" l="1"/>
  <c r="A285" i="75" s="1"/>
  <c r="A287" i="76"/>
  <c r="E289" i="75"/>
  <c r="D291" i="76"/>
  <c r="C289" i="75"/>
  <c r="E291" i="76"/>
  <c r="B286" i="75" l="1"/>
  <c r="A286" i="75" s="1"/>
  <c r="A288" i="76"/>
  <c r="C290" i="75"/>
  <c r="E292" i="76"/>
  <c r="E290" i="75"/>
  <c r="D292" i="76"/>
  <c r="B287" i="75" l="1"/>
  <c r="A287" i="75" s="1"/>
  <c r="A289" i="76"/>
  <c r="E291" i="75"/>
  <c r="D293" i="76"/>
  <c r="E293" i="76"/>
  <c r="C291" i="75"/>
  <c r="B288" i="75" l="1"/>
  <c r="A288" i="75" s="1"/>
  <c r="A290" i="76"/>
  <c r="E294" i="76"/>
  <c r="C292" i="75"/>
  <c r="E292" i="75"/>
  <c r="D294" i="76"/>
  <c r="B289" i="75" l="1"/>
  <c r="A289" i="75" s="1"/>
  <c r="A291" i="76"/>
  <c r="E293" i="75"/>
  <c r="D295" i="76"/>
  <c r="C293" i="75"/>
  <c r="E295" i="76"/>
  <c r="B290" i="75" l="1"/>
  <c r="A290" i="75" s="1"/>
  <c r="A292" i="76"/>
  <c r="C294" i="75"/>
  <c r="E296" i="76"/>
  <c r="D296" i="76"/>
  <c r="E294" i="75"/>
  <c r="B291" i="75" l="1"/>
  <c r="A291" i="75" s="1"/>
  <c r="A293" i="76"/>
  <c r="E295" i="75"/>
  <c r="D297" i="76"/>
  <c r="C295" i="75"/>
  <c r="E297" i="76"/>
  <c r="B292" i="75" l="1"/>
  <c r="A292" i="75" s="1"/>
  <c r="A294" i="76"/>
  <c r="C296" i="75"/>
  <c r="E298" i="76"/>
  <c r="E296" i="75"/>
  <c r="D298" i="76"/>
  <c r="B293" i="75" l="1"/>
  <c r="A293" i="75" s="1"/>
  <c r="A295" i="76"/>
  <c r="E297" i="75"/>
  <c r="D299" i="76"/>
  <c r="C297" i="75"/>
  <c r="E299" i="76"/>
  <c r="B294" i="75" l="1"/>
  <c r="A294" i="75" s="1"/>
  <c r="A296" i="76"/>
  <c r="C298" i="75"/>
  <c r="E300" i="76"/>
  <c r="E298" i="75"/>
  <c r="D300" i="76"/>
  <c r="B295" i="75" l="1"/>
  <c r="A295" i="75" s="1"/>
  <c r="A297" i="76"/>
  <c r="D301" i="76"/>
  <c r="E299" i="75"/>
  <c r="E301" i="76"/>
  <c r="C299" i="75"/>
  <c r="B296" i="75" l="1"/>
  <c r="A296" i="75" s="1"/>
  <c r="A298" i="76"/>
  <c r="D302" i="76"/>
  <c r="E300" i="75"/>
  <c r="C300" i="75"/>
  <c r="E302" i="76"/>
  <c r="B297" i="75" l="1"/>
  <c r="A297" i="75" s="1"/>
  <c r="A299" i="76"/>
  <c r="E301" i="75"/>
  <c r="D303" i="76"/>
  <c r="C301" i="75"/>
  <c r="E303" i="76"/>
  <c r="B298" i="75" l="1"/>
  <c r="A298" i="75" s="1"/>
  <c r="A300" i="76"/>
  <c r="E304" i="76"/>
  <c r="C302" i="75"/>
  <c r="D304" i="76"/>
  <c r="E302" i="75"/>
  <c r="B299" i="75" l="1"/>
  <c r="A299" i="75" s="1"/>
  <c r="A301" i="76"/>
  <c r="C303" i="75"/>
  <c r="E305" i="76"/>
  <c r="D305" i="76"/>
  <c r="E303" i="75"/>
  <c r="B300" i="75" l="1"/>
  <c r="A300" i="75" s="1"/>
  <c r="A302" i="76"/>
  <c r="E304" i="75"/>
  <c r="D306" i="76"/>
  <c r="E306" i="76"/>
  <c r="C304" i="75"/>
  <c r="B301" i="75" l="1"/>
  <c r="A301" i="75" s="1"/>
  <c r="A303" i="76"/>
  <c r="E307" i="76"/>
  <c r="C305" i="75"/>
  <c r="D307" i="76"/>
  <c r="E305" i="75"/>
  <c r="B302" i="75" l="1"/>
  <c r="A302" i="75" s="1"/>
  <c r="A304" i="76"/>
  <c r="E306" i="75"/>
  <c r="D308" i="76"/>
  <c r="E308" i="76"/>
  <c r="C306" i="75"/>
  <c r="B303" i="75" l="1"/>
  <c r="A303" i="75" s="1"/>
  <c r="A305" i="76"/>
  <c r="C307" i="75"/>
  <c r="E309" i="76"/>
  <c r="E307" i="75"/>
  <c r="D309" i="76"/>
  <c r="B304" i="75" l="1"/>
  <c r="A304" i="75" s="1"/>
  <c r="A306" i="76"/>
  <c r="E308" i="75"/>
  <c r="D310" i="76"/>
  <c r="E310" i="76"/>
  <c r="C308" i="75"/>
  <c r="B305" i="75" l="1"/>
  <c r="A305" i="75" s="1"/>
  <c r="A307" i="76"/>
  <c r="E311" i="76"/>
  <c r="C309" i="75"/>
  <c r="E309" i="75"/>
  <c r="D311" i="76"/>
  <c r="B306" i="75" l="1"/>
  <c r="A306" i="75" s="1"/>
  <c r="A308" i="76"/>
  <c r="E310" i="75"/>
  <c r="D312" i="76"/>
  <c r="C310" i="75"/>
  <c r="E312" i="76"/>
  <c r="B307" i="75" l="1"/>
  <c r="A307" i="75" s="1"/>
  <c r="A309" i="76"/>
  <c r="C311" i="75"/>
  <c r="E313" i="76"/>
  <c r="E311" i="75"/>
  <c r="D313" i="76"/>
  <c r="B308" i="75" l="1"/>
  <c r="A308" i="75" s="1"/>
  <c r="A310" i="76"/>
  <c r="E312" i="75"/>
  <c r="D314" i="76"/>
  <c r="C312" i="75"/>
  <c r="E314" i="76"/>
  <c r="B309" i="75" l="1"/>
  <c r="A309" i="75" s="1"/>
  <c r="A311" i="76"/>
  <c r="C313" i="75"/>
  <c r="E315" i="76"/>
  <c r="D315" i="76"/>
  <c r="E313" i="75"/>
  <c r="B310" i="75" l="1"/>
  <c r="A310" i="75" s="1"/>
  <c r="A312" i="76"/>
  <c r="E314" i="75"/>
  <c r="D316" i="76"/>
  <c r="E316" i="76"/>
  <c r="C314" i="75"/>
  <c r="B311" i="75" l="1"/>
  <c r="A311" i="75" s="1"/>
  <c r="A313" i="76"/>
  <c r="C315" i="75"/>
  <c r="E317" i="76"/>
  <c r="D317" i="76"/>
  <c r="E315" i="75"/>
  <c r="B312" i="75" l="1"/>
  <c r="A312" i="75" s="1"/>
  <c r="A314" i="76"/>
  <c r="D318" i="76"/>
  <c r="E316" i="75"/>
  <c r="E318" i="76"/>
  <c r="C316" i="75"/>
  <c r="B313" i="75" l="1"/>
  <c r="A313" i="75" s="1"/>
  <c r="A315" i="76"/>
  <c r="C317" i="75"/>
  <c r="E319" i="76"/>
  <c r="D319" i="76"/>
  <c r="E317" i="75"/>
  <c r="B314" i="75" l="1"/>
  <c r="A314" i="75" s="1"/>
  <c r="A316" i="76"/>
  <c r="E318" i="75"/>
  <c r="D320" i="76"/>
  <c r="C318" i="75"/>
  <c r="E320" i="76"/>
  <c r="B315" i="75" l="1"/>
  <c r="A315" i="75" s="1"/>
  <c r="A317" i="76"/>
  <c r="C319" i="75"/>
  <c r="E321" i="76"/>
  <c r="D321" i="76"/>
  <c r="E319" i="75"/>
  <c r="B316" i="75" l="1"/>
  <c r="A316" i="75" s="1"/>
  <c r="A318" i="76"/>
  <c r="E320" i="75"/>
  <c r="D322" i="76"/>
  <c r="C320" i="75"/>
  <c r="E322" i="76"/>
  <c r="B317" i="75" l="1"/>
  <c r="A317" i="75" s="1"/>
  <c r="A319" i="76"/>
  <c r="E323" i="76"/>
  <c r="C321" i="75"/>
  <c r="E321" i="75"/>
  <c r="D323" i="76"/>
  <c r="B318" i="75" l="1"/>
  <c r="A318" i="75" s="1"/>
  <c r="A320" i="76"/>
  <c r="D324" i="76"/>
  <c r="E322" i="75"/>
  <c r="E324" i="76"/>
  <c r="C322" i="75"/>
  <c r="B319" i="75" l="1"/>
  <c r="A319" i="75" s="1"/>
  <c r="A321" i="76"/>
  <c r="D325" i="76"/>
  <c r="E323" i="75"/>
  <c r="E325" i="76"/>
  <c r="C323" i="75"/>
  <c r="B320" i="75" l="1"/>
  <c r="A320" i="75" s="1"/>
  <c r="A322" i="76"/>
  <c r="E324" i="75"/>
  <c r="D326" i="76"/>
  <c r="C324" i="75"/>
  <c r="E326" i="76"/>
  <c r="B321" i="75" l="1"/>
  <c r="A321" i="75" s="1"/>
  <c r="A323" i="76"/>
  <c r="E327" i="76"/>
  <c r="C325" i="75"/>
  <c r="E325" i="75"/>
  <c r="D327" i="76"/>
  <c r="B322" i="75" l="1"/>
  <c r="A322" i="75" s="1"/>
  <c r="A324" i="76"/>
  <c r="C326" i="75"/>
  <c r="E328" i="76"/>
  <c r="D328" i="76"/>
  <c r="E326" i="75"/>
  <c r="B323" i="75" l="1"/>
  <c r="A323" i="75" s="1"/>
  <c r="A325" i="76"/>
  <c r="E327" i="75"/>
  <c r="D329" i="76"/>
  <c r="C327" i="75"/>
  <c r="E329" i="76"/>
  <c r="B324" i="75" l="1"/>
  <c r="A324" i="75" s="1"/>
  <c r="A326" i="76"/>
  <c r="E330" i="76"/>
  <c r="C328" i="75"/>
  <c r="D330" i="76"/>
  <c r="E328" i="75"/>
  <c r="B325" i="75" l="1"/>
  <c r="A325" i="75" s="1"/>
  <c r="A327" i="76"/>
  <c r="E331" i="76"/>
  <c r="C329" i="75"/>
  <c r="D331" i="76"/>
  <c r="E329" i="75"/>
  <c r="B326" i="75" l="1"/>
  <c r="A326" i="75" s="1"/>
  <c r="A328" i="76"/>
  <c r="E332" i="76"/>
  <c r="C330" i="75"/>
  <c r="D332" i="76"/>
  <c r="E330" i="75"/>
  <c r="B327" i="75" l="1"/>
  <c r="A327" i="75" s="1"/>
  <c r="A329" i="76"/>
  <c r="E333" i="76"/>
  <c r="C331" i="75"/>
  <c r="E331" i="75"/>
  <c r="D333" i="76"/>
  <c r="B328" i="75" l="1"/>
  <c r="A328" i="75" s="1"/>
  <c r="A330" i="76"/>
  <c r="C332" i="75"/>
  <c r="E334" i="76"/>
  <c r="D334" i="76"/>
  <c r="E332" i="75"/>
  <c r="B329" i="75" l="1"/>
  <c r="A329" i="75" s="1"/>
  <c r="A331" i="76"/>
  <c r="E333" i="75"/>
  <c r="D335" i="76"/>
  <c r="C333" i="75"/>
  <c r="E335" i="76"/>
  <c r="B330" i="75" l="1"/>
  <c r="A330" i="75" s="1"/>
  <c r="A332" i="76"/>
  <c r="C334" i="75"/>
  <c r="E336" i="76"/>
  <c r="E334" i="75"/>
  <c r="D336" i="76"/>
  <c r="B331" i="75" l="1"/>
  <c r="A331" i="75" s="1"/>
  <c r="A333" i="76"/>
  <c r="D337" i="76"/>
  <c r="E335" i="75"/>
  <c r="C335" i="75"/>
  <c r="E337" i="76"/>
  <c r="B332" i="75" l="1"/>
  <c r="A332" i="75" s="1"/>
  <c r="A334" i="76"/>
  <c r="D338" i="76"/>
  <c r="E336" i="75"/>
  <c r="E338" i="76"/>
  <c r="C336" i="75"/>
  <c r="B333" i="75" l="1"/>
  <c r="A333" i="75" s="1"/>
  <c r="A335" i="76"/>
  <c r="E337" i="75"/>
  <c r="D339" i="76"/>
  <c r="E339" i="76"/>
  <c r="C337" i="75"/>
  <c r="B334" i="75" l="1"/>
  <c r="A334" i="75" s="1"/>
  <c r="A336" i="76"/>
  <c r="E340" i="76"/>
  <c r="C338" i="75"/>
  <c r="D340" i="76"/>
  <c r="E338" i="75"/>
  <c r="B335" i="75" l="1"/>
  <c r="A335" i="75" s="1"/>
  <c r="A337" i="76"/>
  <c r="D341" i="76"/>
  <c r="E339" i="75"/>
  <c r="C339" i="75"/>
  <c r="E341" i="76"/>
  <c r="B336" i="75" l="1"/>
  <c r="A336" i="75" s="1"/>
  <c r="A338" i="76"/>
  <c r="E342" i="76"/>
  <c r="C340" i="75"/>
  <c r="D342" i="76"/>
  <c r="E340" i="75"/>
  <c r="B337" i="75" l="1"/>
  <c r="A337" i="75" s="1"/>
  <c r="A339" i="76"/>
  <c r="E341" i="75"/>
  <c r="D343" i="76"/>
  <c r="C341" i="75"/>
  <c r="E343" i="76"/>
  <c r="B338" i="75" l="1"/>
  <c r="A338" i="75" s="1"/>
  <c r="A340" i="76"/>
  <c r="C342" i="75"/>
  <c r="E344" i="76"/>
  <c r="D344" i="76"/>
  <c r="E342" i="75"/>
  <c r="B339" i="75" l="1"/>
  <c r="A339" i="75" s="1"/>
  <c r="A341" i="76"/>
  <c r="E343" i="75"/>
  <c r="D345" i="76"/>
  <c r="E345" i="76"/>
  <c r="C343" i="75"/>
  <c r="B340" i="75" l="1"/>
  <c r="A340" i="75" s="1"/>
  <c r="A342" i="76"/>
  <c r="C344" i="75"/>
  <c r="E346" i="76"/>
  <c r="D346" i="76"/>
  <c r="E344" i="75"/>
  <c r="B341" i="75" l="1"/>
  <c r="A341" i="75" s="1"/>
  <c r="A343" i="76"/>
  <c r="E345" i="75"/>
  <c r="D347" i="76"/>
  <c r="E347" i="76"/>
  <c r="C345" i="75"/>
  <c r="B342" i="75" l="1"/>
  <c r="A342" i="75" s="1"/>
  <c r="A344" i="76"/>
  <c r="C346" i="75"/>
  <c r="E348" i="76"/>
  <c r="D348" i="76"/>
  <c r="E346" i="75"/>
  <c r="B343" i="75" l="1"/>
  <c r="A343" i="75" s="1"/>
  <c r="A345" i="76"/>
  <c r="D349" i="76"/>
  <c r="E347" i="75"/>
  <c r="C347" i="75"/>
  <c r="E349" i="76"/>
  <c r="B344" i="75" l="1"/>
  <c r="A344" i="75" s="1"/>
  <c r="A346" i="76"/>
  <c r="C348" i="75"/>
  <c r="E350" i="76"/>
  <c r="E348" i="75"/>
  <c r="D350" i="76"/>
  <c r="B345" i="75" l="1"/>
  <c r="A345" i="75" s="1"/>
  <c r="A347" i="76"/>
  <c r="D351" i="76"/>
  <c r="E349" i="75"/>
  <c r="C349" i="75"/>
  <c r="E351" i="76"/>
  <c r="B346" i="75" l="1"/>
  <c r="A346" i="75" s="1"/>
  <c r="A348" i="76"/>
  <c r="C350" i="75"/>
  <c r="E352" i="76"/>
  <c r="E350" i="75"/>
  <c r="D352" i="76"/>
  <c r="B347" i="75" l="1"/>
  <c r="A347" i="75" s="1"/>
  <c r="A349" i="76"/>
  <c r="D353" i="76"/>
  <c r="E351" i="75"/>
  <c r="C351" i="75"/>
  <c r="E353" i="76"/>
  <c r="B348" i="75" l="1"/>
  <c r="A348" i="75" s="1"/>
  <c r="A350" i="76"/>
  <c r="D354" i="76"/>
  <c r="E352" i="75"/>
  <c r="C352" i="75"/>
  <c r="E354" i="76"/>
  <c r="B349" i="75" l="1"/>
  <c r="A349" i="75" s="1"/>
  <c r="A351" i="76"/>
  <c r="C353" i="75"/>
  <c r="E355" i="76"/>
  <c r="E353" i="75"/>
  <c r="D355" i="76"/>
  <c r="B350" i="75" l="1"/>
  <c r="A350" i="75" s="1"/>
  <c r="A352" i="76"/>
  <c r="E354" i="75"/>
  <c r="D356" i="76"/>
  <c r="E356" i="76"/>
  <c r="C354" i="75"/>
  <c r="B351" i="75" l="1"/>
  <c r="A351" i="75" s="1"/>
  <c r="A353" i="76"/>
  <c r="E357" i="76"/>
  <c r="C355" i="75"/>
  <c r="E355" i="75"/>
  <c r="D357" i="76"/>
  <c r="B352" i="75" l="1"/>
  <c r="A352" i="75" s="1"/>
  <c r="A354" i="76"/>
  <c r="E356" i="75"/>
  <c r="D358" i="76"/>
  <c r="C356" i="75"/>
  <c r="E358" i="76"/>
  <c r="B353" i="75" l="1"/>
  <c r="A353" i="75" s="1"/>
  <c r="A355" i="76"/>
  <c r="E359" i="76"/>
  <c r="C357" i="75"/>
  <c r="E357" i="75"/>
  <c r="D359" i="76"/>
  <c r="B354" i="75" l="1"/>
  <c r="A354" i="75" s="1"/>
  <c r="A356" i="76"/>
  <c r="D360" i="76"/>
  <c r="E358" i="75"/>
  <c r="C358" i="75"/>
  <c r="E360" i="76"/>
  <c r="B355" i="75" l="1"/>
  <c r="A355" i="75" s="1"/>
  <c r="A357" i="76"/>
  <c r="C359" i="75"/>
  <c r="E361" i="76"/>
  <c r="E359" i="75"/>
  <c r="D361" i="76"/>
  <c r="B356" i="75" l="1"/>
  <c r="A356" i="75" s="1"/>
  <c r="A358" i="76"/>
  <c r="E360" i="75"/>
  <c r="D362" i="76"/>
  <c r="E362" i="76"/>
  <c r="C360" i="75"/>
  <c r="B357" i="75" l="1"/>
  <c r="A357" i="75" s="1"/>
  <c r="A359" i="76"/>
  <c r="E363" i="76"/>
  <c r="C361" i="75"/>
  <c r="D363" i="76"/>
  <c r="E361" i="75"/>
  <c r="B358" i="75" l="1"/>
  <c r="A358" i="75" s="1"/>
  <c r="A360" i="76"/>
  <c r="E362" i="75"/>
  <c r="D364" i="76"/>
  <c r="E364" i="76"/>
  <c r="C362" i="75"/>
  <c r="B359" i="75" l="1"/>
  <c r="A359" i="75" s="1"/>
  <c r="A361" i="76"/>
  <c r="C363" i="75"/>
  <c r="E365" i="76"/>
  <c r="D365" i="76"/>
  <c r="E363" i="75"/>
  <c r="B360" i="75" l="1"/>
  <c r="A360" i="75" s="1"/>
  <c r="A362" i="76"/>
  <c r="D366" i="76"/>
  <c r="E364" i="75"/>
  <c r="E366" i="76"/>
  <c r="C364" i="75"/>
  <c r="B361" i="75" l="1"/>
  <c r="A361" i="75" s="1"/>
  <c r="A363" i="76"/>
  <c r="E365" i="75"/>
  <c r="D367" i="76"/>
  <c r="C365" i="75"/>
  <c r="E367" i="76"/>
  <c r="B362" i="75" l="1"/>
  <c r="A362" i="75" s="1"/>
  <c r="A364" i="76"/>
  <c r="E368" i="76"/>
  <c r="C366" i="75"/>
  <c r="E366" i="75"/>
  <c r="D368" i="76"/>
  <c r="B363" i="75" l="1"/>
  <c r="A363" i="75" s="1"/>
  <c r="A365" i="76"/>
  <c r="E369" i="76"/>
  <c r="C367" i="75"/>
  <c r="E367" i="75"/>
  <c r="D369" i="76"/>
  <c r="B364" i="75" l="1"/>
  <c r="A364" i="75" s="1"/>
  <c r="A366" i="76"/>
  <c r="D370" i="76"/>
  <c r="E368" i="75"/>
  <c r="E370" i="76"/>
  <c r="C368" i="75"/>
  <c r="B365" i="75" l="1"/>
  <c r="A365" i="75" s="1"/>
  <c r="A367" i="76"/>
  <c r="E371" i="76"/>
  <c r="C369" i="75"/>
  <c r="E369" i="75"/>
  <c r="D371" i="76"/>
  <c r="B366" i="75" l="1"/>
  <c r="A366" i="75" s="1"/>
  <c r="A368" i="76"/>
  <c r="D372" i="76"/>
  <c r="E371" i="75" s="1"/>
  <c r="E370" i="75"/>
  <c r="E372" i="76"/>
  <c r="C371" i="75" s="1"/>
  <c r="C370" i="75"/>
  <c r="B367" i="75" l="1"/>
  <c r="A367" i="75" s="1"/>
  <c r="A369" i="76"/>
  <c r="B368" i="75" l="1"/>
  <c r="A368" i="75" s="1"/>
  <c r="A370" i="76"/>
  <c r="B369" i="75" l="1"/>
  <c r="A369" i="75" s="1"/>
  <c r="A371" i="76"/>
  <c r="B370" i="75" l="1"/>
  <c r="A370" i="75" s="1"/>
  <c r="A372" i="76"/>
  <c r="B371" i="75" l="1"/>
  <c r="A371" i="75" s="1"/>
  <c r="A373" i="76"/>
  <c r="B372" i="75" s="1"/>
  <c r="A372" i="75" s="1"/>
</calcChain>
</file>

<file path=xl/comments1.xml><?xml version="1.0" encoding="utf-8"?>
<comments xmlns="http://schemas.openxmlformats.org/spreadsheetml/2006/main">
  <authors>
    <author>LARRY</author>
  </authors>
  <commentList>
    <comment ref="A11" authorId="0" shapeId="0">
      <text>
        <r>
          <rPr>
            <b/>
            <sz val="8"/>
            <color indexed="81"/>
            <rFont val="Tahoma"/>
            <family val="2"/>
          </rPr>
          <t>Normally for full time employees:
4 for 1-2 years of service
6 for 3 to 14 years
8 for 15+ years</t>
        </r>
      </text>
    </comment>
    <comment ref="A12" authorId="0" shapeId="0">
      <text>
        <r>
          <rPr>
            <b/>
            <sz val="8"/>
            <color indexed="81"/>
            <rFont val="Tahoma"/>
            <family val="2"/>
          </rPr>
          <t>Enter your sick leave earning rate.  This is normally 4 for full time employees.</t>
        </r>
      </text>
    </comment>
  </commentList>
</comments>
</file>

<file path=xl/comments2.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3.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4.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5.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6.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7.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8.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9.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0.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1.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2.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3.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4.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5.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6.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7.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8.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9.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0.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1.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2.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3.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4.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5.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6.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7.xml><?xml version="1.0" encoding="utf-8"?>
<comments xmlns="http://schemas.openxmlformats.org/spreadsheetml/2006/main">
  <authors>
    <author>Preferred Customer</author>
  </authors>
  <commentList>
    <comment ref="D18" authorId="0" shapeId="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sharedStrings.xml><?xml version="1.0" encoding="utf-8"?>
<sst xmlns="http://schemas.openxmlformats.org/spreadsheetml/2006/main" count="3470" uniqueCount="240">
  <si>
    <t>Sun</t>
  </si>
  <si>
    <t>Mon</t>
  </si>
  <si>
    <t>Tue</t>
  </si>
  <si>
    <t>Wed</t>
  </si>
  <si>
    <t>Thu</t>
  </si>
  <si>
    <t>Fri</t>
  </si>
  <si>
    <t>Sat</t>
  </si>
  <si>
    <t>Annual Leave</t>
  </si>
  <si>
    <t>Sick Leave</t>
  </si>
  <si>
    <t>Wk1</t>
  </si>
  <si>
    <t>Wk2</t>
  </si>
  <si>
    <t>TIME IN PAY STATUS</t>
  </si>
  <si>
    <t>REMARKS:</t>
  </si>
  <si>
    <t>Prefix</t>
  </si>
  <si>
    <t>Suffix</t>
  </si>
  <si>
    <t>Scheduled Hours</t>
  </si>
  <si>
    <t>From:</t>
  </si>
  <si>
    <t>To:</t>
  </si>
  <si>
    <t>Annual</t>
  </si>
  <si>
    <t>Sick</t>
  </si>
  <si>
    <t>Credit</t>
  </si>
  <si>
    <t>in</t>
  </si>
  <si>
    <t>out</t>
  </si>
  <si>
    <t>Total</t>
  </si>
  <si>
    <t>Pay Period</t>
  </si>
  <si>
    <t>Beginning</t>
  </si>
  <si>
    <t>Ending</t>
  </si>
  <si>
    <t>Earned</t>
  </si>
  <si>
    <t>Used</t>
  </si>
  <si>
    <t>Balance</t>
  </si>
  <si>
    <t>Notes:</t>
  </si>
  <si>
    <t>(days)</t>
  </si>
  <si>
    <t>Note: You should not have to edit anything on this page.  Everything is calculated from the pay period pages.</t>
  </si>
  <si>
    <t>#</t>
  </si>
  <si>
    <t xml:space="preserve">  OR</t>
  </si>
  <si>
    <t xml:space="preserve">              Carried Over:</t>
  </si>
  <si>
    <t xml:space="preserve">             Carried Over:</t>
  </si>
  <si>
    <t>Sick Leave balance from previous year (hours)</t>
  </si>
  <si>
    <t>Comp. Time balance from previous year (hours)</t>
  </si>
  <si>
    <t>Your Sick Leave Earning rate which is (usually 4 hours)</t>
  </si>
  <si>
    <t>Name</t>
  </si>
  <si>
    <t>out   11:30</t>
  </si>
  <si>
    <t>in     12:15</t>
  </si>
  <si>
    <t>out   17:00</t>
  </si>
  <si>
    <t>in       8:00</t>
  </si>
  <si>
    <t xml:space="preserve">                  If you choose method (2), the spreadsheet will automatically </t>
  </si>
  <si>
    <t xml:space="preserve">                  Example of an in/out entry:</t>
  </si>
  <si>
    <t xml:space="preserve">      (see the "Leave Record" sheet)</t>
  </si>
  <si>
    <t>Sign-In/Sign-Out Sheet:</t>
  </si>
  <si>
    <t xml:space="preserve">    choose "print to fit" on 1 page in the print preview/setup area.</t>
  </si>
  <si>
    <t>Time In</t>
  </si>
  <si>
    <t>Time Out</t>
  </si>
  <si>
    <t xml:space="preserve">      you will help predict your yearly usage and use-or-lose status.                       </t>
  </si>
  <si>
    <t>LEAVE RECORD</t>
  </si>
  <si>
    <t>Travel Comp. Time balance from previous year (hours)</t>
  </si>
  <si>
    <t>Travel Comp. Time</t>
  </si>
  <si>
    <t xml:space="preserve">            Comp. Time</t>
  </si>
  <si>
    <t>Credit Leave</t>
  </si>
  <si>
    <t>Bal.Fwd.</t>
  </si>
  <si>
    <t>NewBal.</t>
  </si>
  <si>
    <t>If you are a Part Time Employee, enter 1.  Otherwise, if Full Time leave as 0 (zero).</t>
  </si>
  <si>
    <t>&lt;-- Do not edit.  Part time leave calculator</t>
  </si>
  <si>
    <t xml:space="preserve">    Carry Over Hours:</t>
  </si>
  <si>
    <t>When an employee moves from 4 to 6 or from 6 to 8 hours of annual leave per 80 hours of work, you must make the following adjustments:</t>
  </si>
  <si>
    <t xml:space="preserve"> 6) Go to Instructions page and enter your AL new earning rate in cell A10</t>
  </si>
  <si>
    <t>When an employee moves from 4 to 6 or from 6 to 8 hours of annual leave per pay period, you must make the following adjustment:</t>
  </si>
  <si>
    <t>- Federal holidays are pre-entered.  Uses sheduled hours to determine hours of Admin Leave granted.</t>
  </si>
  <si>
    <t>Changing from Part time to Full time (and visa-versa):</t>
  </si>
  <si>
    <t xml:space="preserve">When an employee moves from full time to part time or visa-versa, the user will need to manually update the values in cells </t>
  </si>
  <si>
    <t>Part time employees - Changing midyear from one annual leave earning rate to the next:</t>
  </si>
  <si>
    <t>Full time employees - Changing midyear from one annual leave earning rate to the next:</t>
  </si>
  <si>
    <t>Time Off Award balance from previous year (hours)</t>
  </si>
  <si>
    <t>Time Off Award</t>
  </si>
  <si>
    <t>Carried Over:</t>
  </si>
  <si>
    <t xml:space="preserve">    Use or lose:</t>
  </si>
  <si>
    <t>If you are a Part Time Employee, enter "carry over" hours brought forward from last year for Annual Leave calculation</t>
  </si>
  <si>
    <t>If you are a Part Time Employee, enter "carry over" hours brought forward from last year for Sick Leave calculation</t>
  </si>
  <si>
    <t>Bal. Brought Forward from Last PP</t>
  </si>
  <si>
    <t>Last PP + This PP</t>
  </si>
  <si>
    <t>New Carry Forward Balance(&lt;80)</t>
  </si>
  <si>
    <t>Leave multiplier</t>
  </si>
  <si>
    <t>To report bugs or make suggestions, e-mail: larry.winkelman@ars.usda.gov</t>
  </si>
  <si>
    <r>
      <t>-</t>
    </r>
    <r>
      <rPr>
        <sz val="10"/>
        <color indexed="10"/>
        <rFont val="Arial"/>
        <family val="2"/>
      </rPr>
      <t xml:space="preserve"> If you start using the spreadsheet mid-year</t>
    </r>
    <r>
      <rPr>
        <sz val="10"/>
        <rFont val="Arial"/>
        <family val="2"/>
      </rPr>
      <t>, go to the current pay period and enter your annual, sick, credit and</t>
    </r>
  </si>
  <si>
    <t>____________________________</t>
  </si>
  <si>
    <t>___________</t>
  </si>
  <si>
    <t>Donated</t>
  </si>
  <si>
    <t>Leave</t>
  </si>
  <si>
    <t>Bal</t>
  </si>
  <si>
    <t>Accr</t>
  </si>
  <si>
    <t>Fwd</t>
  </si>
  <si>
    <t>Travel Comp</t>
  </si>
  <si>
    <t>01-Regular  Time</t>
  </si>
  <si>
    <t>32-Comp Time Earn</t>
  </si>
  <si>
    <t>32-Travel Comp Earn</t>
  </si>
  <si>
    <t>71-LWOP</t>
  </si>
  <si>
    <t>66-Admin Leave</t>
  </si>
  <si>
    <t>66-Time Off Award Used</t>
  </si>
  <si>
    <t>64-Travel Comp Used</t>
  </si>
  <si>
    <t>64-Comp LV Used</t>
  </si>
  <si>
    <t>62-Family Sick Leave</t>
  </si>
  <si>
    <t>Comp Time</t>
  </si>
  <si>
    <t>61-Annual Leave Used</t>
  </si>
  <si>
    <t>62-Sick Leave Used</t>
  </si>
  <si>
    <t>Pay Period:</t>
  </si>
  <si>
    <t>Year:</t>
  </si>
  <si>
    <t>Employee Name:</t>
  </si>
  <si>
    <t>Work Time</t>
  </si>
  <si>
    <t>Leave &amp; Other Time</t>
  </si>
  <si>
    <t>01-Telework</t>
  </si>
  <si>
    <t>29-Credit Hours Earn</t>
  </si>
  <si>
    <t>50-Credit Hours Used</t>
  </si>
  <si>
    <t>Daily Total</t>
  </si>
  <si>
    <t>Work Time Total</t>
  </si>
  <si>
    <t>Leave &amp; Other Time Total</t>
  </si>
  <si>
    <t>Leave Data</t>
  </si>
  <si>
    <t>Maximum Available Annual</t>
  </si>
  <si>
    <t>Maximum Available Sick</t>
  </si>
  <si>
    <t>Use or Lose Leave</t>
  </si>
  <si>
    <t>Note: If you schedule leave in the future, it will be reflected</t>
  </si>
  <si>
    <t xml:space="preserve">           on the balances in "Leave Year Projection" to the left.</t>
  </si>
  <si>
    <t>Donated Leave:</t>
  </si>
  <si>
    <t>66-Federal Holiday</t>
  </si>
  <si>
    <t>Leave Earning Rate</t>
  </si>
  <si>
    <t>Annual Leave:</t>
  </si>
  <si>
    <t>Sick Leave:</t>
  </si>
  <si>
    <t xml:space="preserve">    Userdefined</t>
  </si>
  <si>
    <t>Calculated Total</t>
  </si>
  <si>
    <t xml:space="preserve">        Leave Year Projection</t>
  </si>
  <si>
    <t xml:space="preserve">    Employee Signature</t>
  </si>
  <si>
    <t xml:space="preserve">    I certify that this record is accurate.</t>
  </si>
  <si>
    <t xml:space="preserve">    Date</t>
  </si>
  <si>
    <t>&lt;--- Enter donated leave for this pay period here</t>
  </si>
  <si>
    <t>Family Sick Used</t>
  </si>
  <si>
    <t>--</t>
  </si>
  <si>
    <t>Total Time With Pay</t>
  </si>
  <si>
    <t>Leave accumulation for Part Time Employees:</t>
  </si>
  <si>
    <t>&lt;--- Blue row and column totals should match WebTA</t>
  </si>
  <si>
    <r>
      <t xml:space="preserve">&lt;--- Cells flagged orange if not equal to your </t>
    </r>
    <r>
      <rPr>
        <b/>
        <sz val="10"/>
        <rFont val="Arial"/>
        <family val="2"/>
      </rPr>
      <t>Scheduled Hours</t>
    </r>
    <r>
      <rPr>
        <sz val="10"/>
        <rFont val="Arial"/>
        <family val="2"/>
      </rPr>
      <t xml:space="preserve"> above</t>
    </r>
  </si>
  <si>
    <t xml:space="preserve">            Leave Without Pay (LWOP) Calculations:</t>
  </si>
  <si>
    <t xml:space="preserve">          Leave Without Pay (LWOP) Calculations:</t>
  </si>
  <si>
    <t>Quick Balances:</t>
  </si>
  <si>
    <t>Cred</t>
  </si>
  <si>
    <t>Ann</t>
  </si>
  <si>
    <t>Fam</t>
  </si>
  <si>
    <t>Comp</t>
  </si>
  <si>
    <t>Trvl</t>
  </si>
  <si>
    <t>Toff</t>
  </si>
  <si>
    <t>1)You may enter the hours manually in the actual T&amp;A form row 24.  Other hours (ex. Leave) in rows below that.</t>
  </si>
  <si>
    <t xml:space="preserve">    Your entries will be in hours and minutes (in quarter hours).  For example: 6:30 is entered for 6 1/2 hours.  The colon is requred.</t>
  </si>
  <si>
    <t>2)You may enter the in/out times in quarter hours in 24 hour time format.  These entries are entered in rows 4 through 11</t>
  </si>
  <si>
    <t xml:space="preserve">    (top part of Pay Period page).  Again, the colon must be typed between the hour and minutes.  See example below.</t>
  </si>
  <si>
    <t xml:space="preserve">                  calculate and enter the hours in the "Regular Time" row (Row 24).</t>
  </si>
  <si>
    <t>- By entering your future, expected vacation days as annual leave in the Pay Period pages,</t>
  </si>
  <si>
    <t xml:space="preserve">    travel comp. comp., time off award balances carried forward in column P, rows 51 to 56.</t>
  </si>
  <si>
    <t>- Tip: You can drag-and-drop the "Leave Record" tab/worksheet to the right, closer to the current pay period worksheet</t>
  </si>
  <si>
    <t>- Each Pay Period should print correctly without having to reselect the range of cells to print (Print Area)</t>
  </si>
  <si>
    <r>
      <t xml:space="preserve">- If you earn </t>
    </r>
    <r>
      <rPr>
        <sz val="10"/>
        <color indexed="10"/>
        <rFont val="Arial"/>
        <family val="2"/>
      </rPr>
      <t>Time Off Award</t>
    </r>
    <r>
      <rPr>
        <sz val="10"/>
        <rFont val="Arial"/>
        <family val="2"/>
      </rPr>
      <t>, enter initial award in appropriate pay period page, Column P, Row 56.</t>
    </r>
  </si>
  <si>
    <r>
      <t xml:space="preserve">- If you </t>
    </r>
    <r>
      <rPr>
        <sz val="10"/>
        <color indexed="10"/>
        <rFont val="Arial"/>
        <family val="2"/>
      </rPr>
      <t>donate Annual Leave</t>
    </r>
    <r>
      <rPr>
        <sz val="10"/>
        <rFont val="Arial"/>
        <family val="2"/>
      </rPr>
      <t>, go to that Pay Period page and enter the amount donated (hours) in column Y, row 51</t>
    </r>
  </si>
  <si>
    <t>- Some locations may have you print your Time and Attendance pay period page for submission.</t>
  </si>
  <si>
    <t>- Some locations may email or share the spreadsheet file to the time-keeper.</t>
  </si>
  <si>
    <t>- You can print the in/out times with the rest of the form by changing the print area to include the in/out area and then</t>
  </si>
  <si>
    <t>- LWOP calculations are done in column AC and should not be edited.</t>
  </si>
  <si>
    <t>Instructions for entering data in Pay Period sheets</t>
  </si>
  <si>
    <t xml:space="preserve"> 1) write down the Annual Leave (AL) balance, cell T51, for last Pay Period in the old earning rate.</t>
  </si>
  <si>
    <t xml:space="preserve"> 2) write down the AL "Carry Over Hours - NewBal", cell AD5,  for last Pay Period in the old earning rate.</t>
  </si>
  <si>
    <t xml:space="preserve"> 3) Go to the next Pay Period page where the new rate first takes effect </t>
  </si>
  <si>
    <t xml:space="preserve"> 4) Enter the AL balance recorded in (1) above into cell P51 (Annual-Fwd)</t>
  </si>
  <si>
    <t xml:space="preserve"> 5) Enter the "New Balance" recorded in (2) above in cell AC25 (Annual Leave Bal.Fwd.)</t>
  </si>
  <si>
    <t xml:space="preserve">Your Annual Leave Earning rate (hours).  This will be:  4:00 (&lt;3 years), 6:00 (3 to &lt;15 years), or 8:00 (15 or more years).                                       </t>
  </si>
  <si>
    <t>Annual Leave balance from previous year (hours, normally &lt;=240:00)</t>
  </si>
  <si>
    <t>Credit Leave balance from previous year (hours, normally &lt;=24:00)</t>
  </si>
  <si>
    <t>Go to the first Pay Period page of the new rate and enter your new rate in cell Y54 (4 changed to 6 or 6 changed to 8).</t>
  </si>
  <si>
    <t>Column P, Rows 51 to 56.  Always use WebTA as your Primary record.  Check with your time keeper for clarification.</t>
  </si>
  <si>
    <t>ALWAYS use WebTA as you primary record keeping tool.  This is only an optional, extra tool for you to use.</t>
  </si>
  <si>
    <t>Enter 15 minutes as 0:15 (zero required).  Cannot use 0.25</t>
  </si>
  <si>
    <t>Enter 6 hours 45 minutes as 6:45</t>
  </si>
  <si>
    <t>Enter 8 hours as 8: or 8:00 (you do not need to enter the 00).  Simply entering an 8 will not work.</t>
  </si>
  <si>
    <t>There are two ways to enter your T&amp;A data in the Pay Period pages:</t>
  </si>
  <si>
    <t>- Make sure you verify usage and balances with WebTA as there could be bugs in this program.</t>
  </si>
  <si>
    <t>For first use, enter the following initial values.  You always need to enter the colon for hours:</t>
  </si>
  <si>
    <t>Certified:</t>
  </si>
  <si>
    <t>Approved:</t>
  </si>
  <si>
    <t xml:space="preserve">                    Date:</t>
  </si>
  <si>
    <t>For example, on the Instructions page, if you carry over 238 ¾ hours of annual leave, you would enter 238:45 in cell A5.</t>
  </si>
  <si>
    <t>= Maximum Annual Leave carry-over.</t>
  </si>
  <si>
    <t xml:space="preserve">Enter your maximum annual leave carry-over amount (ceiling).  Normally 240 hours. </t>
  </si>
  <si>
    <t>sick</t>
  </si>
  <si>
    <t>annual</t>
  </si>
  <si>
    <t>Credit leave max</t>
  </si>
  <si>
    <t>Used for special case of negative</t>
  </si>
  <si>
    <t>sick leave balance carried over</t>
  </si>
  <si>
    <t xml:space="preserve">L/A APPOINTMENT TRACKER </t>
  </si>
  <si>
    <t>SEASONAL AND INTERMITTENT APPOINTMENTS LIMITED TO 1039 HOURS</t>
  </si>
  <si>
    <t xml:space="preserve">Service Year Begins:                                                                                                 </t>
  </si>
  <si>
    <t xml:space="preserve">Service Year Ends: </t>
  </si>
  <si>
    <t xml:space="preserve">Position Number:                     </t>
  </si>
  <si>
    <t xml:space="preserve">Employee’s Name:  </t>
  </si>
  <si>
    <t>Day</t>
  </si>
  <si>
    <t>Hours Worked</t>
  </si>
  <si>
    <t>INSTRUCTIONS:</t>
  </si>
  <si>
    <t>Total Hours Worked To Date:</t>
  </si>
  <si>
    <t xml:space="preserve">The numbers in the columns highlighted in black represent the 180-day service limitation.  The hours worked by the L/A must be recorded in the Hours Worked column.  For example, the hours worked by the L/A on his/her first day will be recorded in the Hours Worked column next to the Day 1 block.  The next day the L/A works, hours will be recorded in the Hours Worked column next to the Day 2 block, and so on and so forth. </t>
  </si>
  <si>
    <t xml:space="preserve">Supervisors are to ensure that the L/A does not exceed 1,039 hours within his/her service year.  If the L/A works beyond the hourly limitation, the service limits and restrictions found in 5 CFR 213.104(b)(1) and (2) will apply.  </t>
  </si>
  <si>
    <t>L/A Tracker:</t>
  </si>
  <si>
    <t>Date</t>
  </si>
  <si>
    <t>Total Hours</t>
  </si>
  <si>
    <t>Total Days</t>
  </si>
  <si>
    <t>Starting Values</t>
  </si>
  <si>
    <t>XXXXXX</t>
  </si>
  <si>
    <t xml:space="preserve">Date                                </t>
  </si>
  <si>
    <t>See chart above</t>
  </si>
  <si>
    <t>Hours Recorded or Worked</t>
  </si>
  <si>
    <t>Edit fields in yellow</t>
  </si>
  <si>
    <t>Starting values (Row 8) may be zero or some value from previous year</t>
  </si>
  <si>
    <t xml:space="preserve">Total Hours and Total Days should be zeroed the day before Service Year Begins.   To </t>
  </si>
  <si>
    <t>zero, manually enter 0:00 for hours and 0 for days.</t>
  </si>
  <si>
    <t>LATrackerReport sheet will show future holidays and will accumulate day and hours for those holidays.</t>
  </si>
  <si>
    <t>Sheet "LATrackerReport" should not be edited.</t>
  </si>
  <si>
    <t>Always click "Recalculate" button to evaluate current status.</t>
  </si>
  <si>
    <t>Firstname Lastname</t>
  </si>
  <si>
    <t>Revision date 06-02-2016</t>
  </si>
  <si>
    <r>
      <t>-</t>
    </r>
    <r>
      <rPr>
        <sz val="7"/>
        <rFont val="Times New Roman"/>
        <family val="1"/>
      </rPr>
      <t xml:space="preserve">          </t>
    </r>
    <r>
      <rPr>
        <sz val="11"/>
        <rFont val="Calibri"/>
        <family val="2"/>
      </rPr>
      <t>Always click “Recalculate” button on LATrackerReport tab to update the report table after editing data.</t>
    </r>
  </si>
  <si>
    <r>
      <t>-</t>
    </r>
    <r>
      <rPr>
        <sz val="7"/>
        <rFont val="Times New Roman"/>
        <family val="1"/>
      </rPr>
      <t xml:space="preserve">          </t>
    </r>
    <r>
      <rPr>
        <sz val="11"/>
        <rFont val="Calibri"/>
        <family val="2"/>
      </rPr>
      <t xml:space="preserve">At end of year calendar year, on LATrackerALL tab, take the last day’s </t>
    </r>
    <r>
      <rPr>
        <u/>
        <sz val="11"/>
        <rFont val="Calibri"/>
        <family val="2"/>
      </rPr>
      <t>Total Hours</t>
    </r>
    <r>
      <rPr>
        <sz val="11"/>
        <rFont val="Calibri"/>
        <family val="2"/>
      </rPr>
      <t xml:space="preserve"> and </t>
    </r>
    <r>
      <rPr>
        <u/>
        <sz val="11"/>
        <rFont val="Calibri"/>
        <family val="2"/>
      </rPr>
      <t>Total Days</t>
    </r>
    <r>
      <rPr>
        <sz val="11"/>
        <rFont val="Calibri"/>
        <family val="2"/>
      </rPr>
      <t xml:space="preserve"> values and type them into Row 8, Columns C and D on next year’s Timesheet.</t>
    </r>
  </si>
  <si>
    <r>
      <t>-</t>
    </r>
    <r>
      <rPr>
        <sz val="7"/>
        <rFont val="Times New Roman"/>
        <family val="1"/>
      </rPr>
      <t xml:space="preserve">          </t>
    </r>
    <r>
      <rPr>
        <sz val="11"/>
        <rFont val="Calibri"/>
        <family val="2"/>
      </rPr>
      <t>Should NEVER need to edit any data on the LATrackerReport.</t>
    </r>
  </si>
  <si>
    <r>
      <t>-</t>
    </r>
    <r>
      <rPr>
        <sz val="7"/>
        <rFont val="Times New Roman"/>
        <family val="1"/>
      </rPr>
      <t xml:space="preserve">          </t>
    </r>
    <r>
      <rPr>
        <sz val="11"/>
        <rFont val="Calibri"/>
        <family val="2"/>
      </rPr>
      <t>LATrackerALL gets automatically updated from each payperiod data.</t>
    </r>
  </si>
  <si>
    <r>
      <t>-</t>
    </r>
    <r>
      <rPr>
        <sz val="7"/>
        <rFont val="Times New Roman"/>
        <family val="1"/>
      </rPr>
      <t xml:space="preserve">          </t>
    </r>
    <r>
      <rPr>
        <sz val="11"/>
        <rFont val="Calibri"/>
        <family val="2"/>
      </rPr>
      <t>You probably will need to [Enable Content] when you first start using the spreadsheet.  See screenshot below.</t>
    </r>
  </si>
  <si>
    <t>This is a beta version of the Timesheet with L/A Tracker built in.  I know there will be more tweaks needed. </t>
  </si>
  <si>
    <t>There are some setup instructions in the LATrackerALL sheet marked in yellow but here is the overview:</t>
  </si>
  <si>
    <r>
      <t>-</t>
    </r>
    <r>
      <rPr>
        <sz val="7"/>
        <rFont val="Times New Roman"/>
        <family val="1"/>
      </rPr>
      <t xml:space="preserve">          </t>
    </r>
    <r>
      <rPr>
        <sz val="11"/>
        <rFont val="Calibri"/>
        <family val="2"/>
      </rPr>
      <t xml:space="preserve">Put zeros in for </t>
    </r>
    <r>
      <rPr>
        <u/>
        <sz val="11"/>
        <rFont val="Calibri"/>
        <family val="2"/>
      </rPr>
      <t>Total Hours</t>
    </r>
    <r>
      <rPr>
        <sz val="11"/>
        <rFont val="Calibri"/>
        <family val="2"/>
      </rPr>
      <t xml:space="preserve"> and </t>
    </r>
    <r>
      <rPr>
        <u/>
        <sz val="11"/>
        <rFont val="Calibri"/>
        <family val="2"/>
      </rPr>
      <t>Total Days</t>
    </r>
    <r>
      <rPr>
        <sz val="11"/>
        <rFont val="Calibri"/>
        <family val="2"/>
      </rPr>
      <t xml:space="preserve"> on the day before the Service Year Begins date columns C and D in LATrackerALL tab).</t>
    </r>
  </si>
  <si>
    <r>
      <t>-</t>
    </r>
    <r>
      <rPr>
        <sz val="7"/>
        <rFont val="Times New Roman"/>
        <family val="1"/>
      </rPr>
      <t xml:space="preserve">          </t>
    </r>
    <r>
      <rPr>
        <sz val="11"/>
        <rFont val="Calibri"/>
        <family val="2"/>
      </rPr>
      <t>Make changes to the yellow boxes in LATrackerALL tab when you first use the LATracker portion. There are more instructions around the yellow boxes.</t>
    </r>
  </si>
  <si>
    <t>Revision date 12-08-2016</t>
  </si>
  <si>
    <t>Revision date 1-10-2017</t>
  </si>
  <si>
    <t>Added Freeze Panes to Leave Record</t>
  </si>
  <si>
    <t>2017 version</t>
  </si>
  <si>
    <t>Revision date 2-22-2018</t>
  </si>
  <si>
    <t>2018 version of LATracker</t>
  </si>
  <si>
    <t>Revision date 12-20-2018</t>
  </si>
  <si>
    <t>2019 version of LATracker</t>
  </si>
  <si>
    <t>Revision date 12-12-2019</t>
  </si>
  <si>
    <t>2020 version of LATracker</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</si>
</sst>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m/d"/>
    <numFmt numFmtId="165" formatCode="mmm\ d"/>
    <numFmt numFmtId="166" formatCode="h:mm;@"/>
    <numFmt numFmtId="167" formatCode="[h]:mm"/>
    <numFmt numFmtId="168" formatCode="[$-F800]dddd\,\ mmmm\ dd\,\ yyyy"/>
    <numFmt numFmtId="169" formatCode="[$-409]mmmm\ d\,\ yyyy;@"/>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8"/>
      <name val="Arial"/>
      <family val="2"/>
    </font>
    <font>
      <b/>
      <sz val="10"/>
      <name val="Arial"/>
      <family val="2"/>
    </font>
    <font>
      <b/>
      <sz val="6"/>
      <name val="Arial"/>
      <family val="2"/>
    </font>
    <font>
      <sz val="10"/>
      <name val="Arial"/>
      <family val="2"/>
    </font>
    <font>
      <sz val="5"/>
      <name val="Arial"/>
      <family val="2"/>
    </font>
    <font>
      <b/>
      <sz val="9"/>
      <name val="Arial"/>
      <family val="2"/>
    </font>
    <font>
      <b/>
      <sz val="7"/>
      <name val="Arial"/>
      <family val="2"/>
    </font>
    <font>
      <sz val="10"/>
      <color indexed="12"/>
      <name val="Arial"/>
      <family val="2"/>
    </font>
    <font>
      <sz val="10"/>
      <color indexed="10"/>
      <name val="Arial"/>
      <family val="2"/>
    </font>
    <font>
      <b/>
      <sz val="8"/>
      <color indexed="12"/>
      <name val="Arial"/>
      <family val="2"/>
    </font>
    <font>
      <b/>
      <sz val="8"/>
      <color indexed="81"/>
      <name val="Tahoma"/>
      <family val="2"/>
    </font>
    <font>
      <sz val="8"/>
      <name val="MS Sans Serif"/>
      <family val="2"/>
    </font>
    <font>
      <b/>
      <sz val="10"/>
      <color indexed="10"/>
      <name val="Arial"/>
      <family val="2"/>
    </font>
    <font>
      <b/>
      <sz val="10"/>
      <color indexed="16"/>
      <name val="Arial"/>
      <family val="2"/>
    </font>
    <font>
      <b/>
      <sz val="10"/>
      <color indexed="33"/>
      <name val="Arial"/>
      <family val="2"/>
    </font>
    <font>
      <b/>
      <sz val="10"/>
      <color indexed="39"/>
      <name val="Arial"/>
      <family val="2"/>
    </font>
    <font>
      <b/>
      <sz val="18"/>
      <color indexed="8"/>
      <name val="Arial"/>
      <family val="2"/>
    </font>
    <font>
      <b/>
      <sz val="11"/>
      <color indexed="8"/>
      <name val="Arial"/>
      <family val="2"/>
    </font>
    <font>
      <b/>
      <sz val="10"/>
      <color indexed="8"/>
      <name val="Arial"/>
      <family val="2"/>
    </font>
    <font>
      <sz val="10"/>
      <color indexed="54"/>
      <name val="Arial"/>
      <family val="2"/>
    </font>
    <font>
      <sz val="8"/>
      <color indexed="54"/>
      <name val="Arial"/>
      <family val="2"/>
    </font>
    <font>
      <b/>
      <sz val="10"/>
      <name val="Arial"/>
      <family val="2"/>
    </font>
    <font>
      <b/>
      <u/>
      <sz val="10"/>
      <name val="Arial"/>
      <family val="2"/>
    </font>
    <font>
      <sz val="8"/>
      <name val="Arial"/>
      <family val="2"/>
    </font>
    <font>
      <b/>
      <sz val="16"/>
      <name val="Arial"/>
      <family val="2"/>
    </font>
    <font>
      <b/>
      <sz val="16"/>
      <color indexed="8"/>
      <name val="Arial"/>
      <family val="2"/>
    </font>
    <font>
      <b/>
      <sz val="6"/>
      <color indexed="8"/>
      <name val="Arial"/>
      <family val="2"/>
    </font>
    <font>
      <sz val="9"/>
      <name val="Arial"/>
      <family val="2"/>
    </font>
    <font>
      <b/>
      <sz val="10"/>
      <color theme="3"/>
      <name val="Arial"/>
      <family val="2"/>
    </font>
    <font>
      <b/>
      <sz val="10"/>
      <color rgb="FFC00000"/>
      <name val="Arial"/>
      <family val="2"/>
    </font>
    <font>
      <b/>
      <sz val="10"/>
      <color theme="1"/>
      <name val="Arial"/>
      <family val="2"/>
    </font>
    <font>
      <sz val="10"/>
      <color rgb="FFFF0000"/>
      <name val="Arial"/>
      <family val="2"/>
    </font>
    <font>
      <sz val="11"/>
      <color theme="0"/>
      <name val="Calibri"/>
      <family val="2"/>
      <scheme val="minor"/>
    </font>
    <font>
      <b/>
      <sz val="14"/>
      <color theme="0"/>
      <name val="Californian FB"/>
      <family val="1"/>
    </font>
    <font>
      <b/>
      <sz val="12"/>
      <color theme="1"/>
      <name val="Californian FB"/>
      <family val="1"/>
    </font>
    <font>
      <b/>
      <sz val="10"/>
      <color theme="1"/>
      <name val="Californian FB"/>
      <family val="1"/>
    </font>
    <font>
      <sz val="10"/>
      <color theme="1"/>
      <name val="Californian FB"/>
      <family val="1"/>
    </font>
    <font>
      <b/>
      <u/>
      <sz val="11"/>
      <color theme="1"/>
      <name val="Californian FB"/>
      <family val="1"/>
    </font>
    <font>
      <sz val="11"/>
      <color theme="1"/>
      <name val="Californian FB"/>
      <family val="1"/>
    </font>
    <font>
      <b/>
      <sz val="16"/>
      <color rgb="FF000000"/>
      <name val="Arial"/>
      <family val="2"/>
    </font>
    <font>
      <sz val="11"/>
      <name val="Calibri"/>
      <family val="2"/>
    </font>
    <font>
      <sz val="7"/>
      <name val="Times New Roman"/>
      <family val="1"/>
    </font>
    <font>
      <u/>
      <sz val="11"/>
      <name val="Calibri"/>
      <family val="2"/>
    </font>
  </fonts>
  <fills count="17">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15"/>
        <bgColor indexed="64"/>
      </patternFill>
    </fill>
    <fill>
      <patternFill patternType="solid">
        <fgColor indexed="26"/>
        <bgColor indexed="64"/>
      </patternFill>
    </fill>
    <fill>
      <patternFill patternType="solid">
        <fgColor indexed="47"/>
        <bgColor indexed="64"/>
      </patternFill>
    </fill>
    <fill>
      <patternFill patternType="solid">
        <fgColor indexed="45"/>
        <bgColor indexed="64"/>
      </patternFill>
    </fill>
    <fill>
      <patternFill patternType="solid">
        <fgColor indexed="2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0" tint="-0.249977111117893"/>
        <bgColor indexed="64"/>
      </patternFill>
    </fill>
    <fill>
      <patternFill patternType="solid">
        <fgColor theme="1"/>
        <bgColor indexed="64"/>
      </patternFill>
    </fill>
    <fill>
      <patternFill patternType="solid">
        <fgColor theme="1" tint="4.9989318521683403E-2"/>
        <bgColor indexed="64"/>
      </patternFill>
    </fill>
    <fill>
      <patternFill patternType="solid">
        <fgColor rgb="FFFFFF00"/>
        <bgColor indexed="64"/>
      </patternFill>
    </fill>
  </fills>
  <borders count="6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dotted">
        <color indexed="64"/>
      </left>
      <right style="dotted">
        <color indexed="64"/>
      </right>
      <top style="dotted">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5" fillId="0" borderId="0"/>
    <xf numFmtId="0" fontId="4" fillId="0" borderId="0"/>
  </cellStyleXfs>
  <cellXfs count="507">
    <xf numFmtId="0" fontId="0" fillId="0" borderId="0" xfId="0"/>
    <xf numFmtId="0" fontId="0" fillId="0" borderId="1" xfId="0" applyBorder="1"/>
    <xf numFmtId="0" fontId="8" fillId="0" borderId="0" xfId="0" applyFont="1"/>
    <xf numFmtId="0" fontId="10" fillId="0" borderId="0" xfId="0" applyFont="1" applyBorder="1"/>
    <xf numFmtId="0" fontId="8" fillId="0" borderId="4" xfId="0" applyFont="1" applyBorder="1"/>
    <xf numFmtId="2" fontId="0" fillId="0" borderId="0" xfId="0" applyNumberFormat="1"/>
    <xf numFmtId="0" fontId="0" fillId="0" borderId="0" xfId="0" quotePrefix="1"/>
    <xf numFmtId="0" fontId="29" fillId="0" borderId="0" xfId="0" applyFont="1"/>
    <xf numFmtId="0" fontId="0" fillId="2" borderId="0" xfId="0" applyFill="1"/>
    <xf numFmtId="0" fontId="8" fillId="0" borderId="0" xfId="0" applyFont="1" applyProtection="1"/>
    <xf numFmtId="0" fontId="0" fillId="0" borderId="0" xfId="0" applyProtection="1"/>
    <xf numFmtId="0" fontId="0" fillId="0" borderId="0" xfId="0" applyAlignment="1" applyProtection="1">
      <alignment horizontal="right"/>
    </xf>
    <xf numFmtId="0" fontId="23" fillId="0" borderId="16" xfId="0" applyFont="1" applyFill="1" applyBorder="1" applyAlignment="1" applyProtection="1">
      <alignment horizontal="centerContinuous"/>
    </xf>
    <xf numFmtId="0" fontId="23" fillId="0" borderId="17" xfId="0" applyFont="1" applyFill="1" applyBorder="1" applyAlignment="1" applyProtection="1">
      <alignment horizontal="centerContinuous"/>
    </xf>
    <xf numFmtId="0" fontId="23" fillId="0" borderId="18" xfId="0" applyFont="1" applyFill="1" applyBorder="1" applyAlignment="1" applyProtection="1">
      <alignment horizontal="centerContinuous"/>
    </xf>
    <xf numFmtId="0" fontId="24" fillId="3" borderId="17" xfId="0" applyFont="1" applyFill="1" applyBorder="1" applyAlignment="1" applyProtection="1">
      <alignment horizontal="centerContinuous"/>
    </xf>
    <xf numFmtId="0" fontId="24" fillId="3" borderId="19" xfId="0" applyFont="1" applyFill="1" applyBorder="1" applyAlignment="1" applyProtection="1">
      <alignment horizontal="centerContinuous"/>
    </xf>
    <xf numFmtId="0" fontId="26" fillId="3" borderId="17" xfId="0" applyFont="1" applyFill="1" applyBorder="1" applyProtection="1"/>
    <xf numFmtId="0" fontId="27" fillId="4" borderId="17" xfId="0" applyFont="1" applyFill="1" applyBorder="1" applyAlignment="1" applyProtection="1">
      <alignment horizontal="right"/>
    </xf>
    <xf numFmtId="0" fontId="27" fillId="2" borderId="17" xfId="0" applyFont="1" applyFill="1" applyBorder="1" applyAlignment="1" applyProtection="1">
      <alignment horizontal="right"/>
    </xf>
    <xf numFmtId="0" fontId="25" fillId="0" borderId="16" xfId="0" applyFont="1" applyFill="1" applyBorder="1" applyAlignment="1" applyProtection="1">
      <alignment horizontal="centerContinuous"/>
    </xf>
    <xf numFmtId="0" fontId="8" fillId="0" borderId="17" xfId="0" applyFont="1" applyFill="1" applyBorder="1" applyAlignment="1" applyProtection="1">
      <alignment horizontal="center"/>
    </xf>
    <xf numFmtId="0" fontId="8" fillId="0" borderId="19" xfId="0" applyFont="1" applyFill="1" applyBorder="1" applyAlignment="1" applyProtection="1">
      <alignment horizontal="center"/>
    </xf>
    <xf numFmtId="0" fontId="8" fillId="3" borderId="17" xfId="0" applyFont="1" applyFill="1" applyBorder="1" applyAlignment="1" applyProtection="1">
      <alignment horizontal="center"/>
    </xf>
    <xf numFmtId="0" fontId="8" fillId="3" borderId="19" xfId="0" applyFont="1" applyFill="1" applyBorder="1" applyAlignment="1" applyProtection="1">
      <alignment horizontal="right"/>
    </xf>
    <xf numFmtId="0" fontId="8" fillId="4" borderId="17" xfId="0" applyFont="1" applyFill="1" applyBorder="1" applyAlignment="1" applyProtection="1">
      <alignment horizontal="center"/>
    </xf>
    <xf numFmtId="0" fontId="8" fillId="4" borderId="19" xfId="0" applyFont="1" applyFill="1" applyBorder="1" applyAlignment="1" applyProtection="1">
      <alignment horizontal="right"/>
    </xf>
    <xf numFmtId="0" fontId="8" fillId="2" borderId="17" xfId="0" applyFont="1" applyFill="1" applyBorder="1" applyAlignment="1" applyProtection="1">
      <alignment horizontal="center"/>
    </xf>
    <xf numFmtId="0" fontId="8" fillId="2" borderId="19" xfId="0" applyFont="1" applyFill="1" applyBorder="1" applyAlignment="1" applyProtection="1">
      <alignment horizontal="right"/>
    </xf>
    <xf numFmtId="0" fontId="0" fillId="0" borderId="20" xfId="0" applyFill="1" applyBorder="1" applyAlignment="1" applyProtection="1">
      <alignment horizontal="center"/>
    </xf>
    <xf numFmtId="165" fontId="0" fillId="0" borderId="15" xfId="0" applyNumberFormat="1" applyFill="1" applyBorder="1" applyAlignment="1" applyProtection="1">
      <alignment horizontal="center"/>
    </xf>
    <xf numFmtId="165" fontId="0" fillId="0" borderId="21" xfId="0" applyNumberFormat="1" applyFill="1" applyBorder="1" applyAlignment="1" applyProtection="1">
      <alignment horizontal="center"/>
    </xf>
    <xf numFmtId="0" fontId="28" fillId="3" borderId="27" xfId="0" applyFont="1" applyFill="1" applyBorder="1" applyProtection="1"/>
    <xf numFmtId="1" fontId="28" fillId="3" borderId="28" xfId="0" applyNumberFormat="1" applyFont="1" applyFill="1" applyBorder="1" applyProtection="1"/>
    <xf numFmtId="1" fontId="0" fillId="0" borderId="0" xfId="0" applyNumberFormat="1" applyProtection="1"/>
    <xf numFmtId="1" fontId="28" fillId="0" borderId="0" xfId="0" applyNumberFormat="1" applyFont="1" applyAlignment="1" applyProtection="1">
      <alignment horizontal="right"/>
    </xf>
    <xf numFmtId="0" fontId="28" fillId="0" borderId="0" xfId="0" applyFont="1" applyProtection="1"/>
    <xf numFmtId="0" fontId="28" fillId="3" borderId="29" xfId="0" applyFont="1" applyFill="1" applyBorder="1" applyProtection="1"/>
    <xf numFmtId="1" fontId="28" fillId="3" borderId="30" xfId="0" applyNumberFormat="1" applyFont="1" applyFill="1" applyBorder="1" applyProtection="1"/>
    <xf numFmtId="0" fontId="0" fillId="5" borderId="0" xfId="0" applyFill="1"/>
    <xf numFmtId="0" fontId="6" fillId="5" borderId="0" xfId="0" applyFont="1" applyFill="1"/>
    <xf numFmtId="2" fontId="0" fillId="5" borderId="0" xfId="0" applyNumberFormat="1" applyFill="1"/>
    <xf numFmtId="0" fontId="8" fillId="5" borderId="0" xfId="0" applyFont="1" applyFill="1"/>
    <xf numFmtId="0" fontId="0" fillId="5" borderId="0" xfId="0" applyFill="1" applyAlignment="1">
      <alignment horizontal="center"/>
    </xf>
    <xf numFmtId="164" fontId="0" fillId="5" borderId="0" xfId="0" applyNumberFormat="1" applyFill="1" applyAlignment="1">
      <alignment horizontal="center"/>
    </xf>
    <xf numFmtId="20" fontId="0" fillId="5" borderId="32" xfId="0" applyNumberFormat="1" applyFill="1" applyBorder="1"/>
    <xf numFmtId="0" fontId="5" fillId="5" borderId="0" xfId="0" applyFont="1" applyFill="1"/>
    <xf numFmtId="0" fontId="10" fillId="5" borderId="0" xfId="0" applyFont="1" applyFill="1"/>
    <xf numFmtId="0" fontId="27" fillId="6" borderId="17" xfId="0" applyFont="1" applyFill="1" applyBorder="1" applyAlignment="1" applyProtection="1">
      <alignment horizontal="right"/>
    </xf>
    <xf numFmtId="0" fontId="8" fillId="6" borderId="17" xfId="0" applyFont="1" applyFill="1" applyBorder="1" applyAlignment="1" applyProtection="1">
      <alignment horizontal="center"/>
    </xf>
    <xf numFmtId="0" fontId="8" fillId="6" borderId="19" xfId="0" applyFont="1" applyFill="1" applyBorder="1" applyAlignment="1" applyProtection="1">
      <alignment horizontal="right"/>
    </xf>
    <xf numFmtId="0" fontId="0" fillId="0" borderId="30" xfId="0" applyFill="1" applyBorder="1" applyAlignment="1" applyProtection="1"/>
    <xf numFmtId="0" fontId="0" fillId="0" borderId="30" xfId="0" applyBorder="1" applyAlignment="1"/>
    <xf numFmtId="0" fontId="23" fillId="0" borderId="30" xfId="0" applyFont="1" applyFill="1" applyBorder="1" applyAlignment="1" applyProtection="1"/>
    <xf numFmtId="0" fontId="27" fillId="7" borderId="17" xfId="0" applyFont="1" applyFill="1" applyBorder="1" applyAlignment="1" applyProtection="1">
      <alignment horizontal="right"/>
    </xf>
    <xf numFmtId="0" fontId="8" fillId="7" borderId="17" xfId="0" applyFont="1" applyFill="1" applyBorder="1" applyAlignment="1" applyProtection="1">
      <alignment horizontal="center"/>
    </xf>
    <xf numFmtId="0" fontId="8" fillId="7" borderId="19" xfId="0" applyFont="1" applyFill="1" applyBorder="1" applyAlignment="1" applyProtection="1">
      <alignment horizontal="right"/>
    </xf>
    <xf numFmtId="0" fontId="24" fillId="6" borderId="17" xfId="0" applyFont="1" applyFill="1" applyBorder="1" applyAlignment="1" applyProtection="1">
      <alignment horizontal="center"/>
    </xf>
    <xf numFmtId="0" fontId="24" fillId="6" borderId="19" xfId="0" applyFont="1" applyFill="1" applyBorder="1" applyAlignment="1" applyProtection="1">
      <alignment horizontal="center"/>
    </xf>
    <xf numFmtId="0" fontId="24" fillId="6" borderId="17" xfId="0" applyFont="1" applyFill="1" applyBorder="1" applyAlignment="1" applyProtection="1"/>
    <xf numFmtId="2" fontId="30" fillId="0" borderId="3" xfId="0" applyNumberFormat="1" applyFont="1" applyBorder="1" applyAlignment="1">
      <alignment horizontal="center"/>
    </xf>
    <xf numFmtId="0" fontId="30" fillId="5" borderId="0" xfId="0" applyFont="1" applyFill="1" applyAlignment="1">
      <alignment horizontal="right"/>
    </xf>
    <xf numFmtId="0" fontId="8" fillId="8" borderId="17" xfId="0" applyFont="1" applyFill="1" applyBorder="1" applyAlignment="1" applyProtection="1">
      <alignment horizontal="center"/>
    </xf>
    <xf numFmtId="0" fontId="8" fillId="8" borderId="19" xfId="0" applyFont="1" applyFill="1" applyBorder="1" applyAlignment="1" applyProtection="1">
      <alignment horizontal="right"/>
    </xf>
    <xf numFmtId="0" fontId="31" fillId="0" borderId="30" xfId="0" applyFont="1" applyFill="1" applyBorder="1" applyAlignment="1" applyProtection="1"/>
    <xf numFmtId="0" fontId="32" fillId="0" borderId="30" xfId="0" applyFont="1" applyFill="1" applyBorder="1" applyAlignment="1" applyProtection="1"/>
    <xf numFmtId="0" fontId="33" fillId="8" borderId="17" xfId="0" applyFont="1" applyFill="1" applyBorder="1" applyProtection="1"/>
    <xf numFmtId="0" fontId="33" fillId="3" borderId="17" xfId="0" applyFont="1" applyFill="1" applyBorder="1" applyProtection="1"/>
    <xf numFmtId="0" fontId="33" fillId="4" borderId="17" xfId="0" applyFont="1" applyFill="1" applyBorder="1" applyProtection="1"/>
    <xf numFmtId="0" fontId="33" fillId="2" borderId="17" xfId="0" applyFont="1" applyFill="1" applyBorder="1" applyProtection="1"/>
    <xf numFmtId="0" fontId="33" fillId="6" borderId="17" xfId="0" applyFont="1" applyFill="1" applyBorder="1" applyProtection="1"/>
    <xf numFmtId="0" fontId="33" fillId="7" borderId="17" xfId="0" applyFont="1" applyFill="1" applyBorder="1" applyProtection="1"/>
    <xf numFmtId="0" fontId="24" fillId="9" borderId="34" xfId="0" applyFont="1" applyFill="1" applyBorder="1" applyAlignment="1" applyProtection="1">
      <alignment horizontal="center"/>
    </xf>
    <xf numFmtId="0" fontId="24" fillId="9" borderId="35" xfId="0" applyFont="1" applyFill="1" applyBorder="1" applyAlignment="1" applyProtection="1">
      <alignment horizontal="center"/>
    </xf>
    <xf numFmtId="0" fontId="8" fillId="9" borderId="36" xfId="0" applyFont="1" applyFill="1" applyBorder="1" applyAlignment="1" applyProtection="1">
      <alignment horizontal="center"/>
    </xf>
    <xf numFmtId="2" fontId="19" fillId="5" borderId="0" xfId="0" applyNumberFormat="1" applyFont="1" applyFill="1" applyBorder="1" applyAlignment="1">
      <alignment horizontal="center"/>
    </xf>
    <xf numFmtId="2" fontId="0" fillId="0" borderId="0" xfId="0" applyNumberFormat="1" applyBorder="1"/>
    <xf numFmtId="0" fontId="7" fillId="0" borderId="8" xfId="0" applyNumberFormat="1" applyFont="1" applyBorder="1" applyAlignment="1">
      <alignment horizontal="center"/>
    </xf>
    <xf numFmtId="0" fontId="7" fillId="0" borderId="7" xfId="0" applyNumberFormat="1" applyFont="1" applyBorder="1" applyAlignment="1">
      <alignment horizontal="center"/>
    </xf>
    <xf numFmtId="0" fontId="0" fillId="0" borderId="14" xfId="0" applyBorder="1"/>
    <xf numFmtId="0" fontId="8" fillId="0" borderId="0" xfId="0" applyFont="1" applyBorder="1"/>
    <xf numFmtId="2" fontId="0" fillId="0" borderId="6" xfId="0" applyNumberFormat="1" applyBorder="1"/>
    <xf numFmtId="2" fontId="8" fillId="0" borderId="4" xfId="0" applyNumberFormat="1" applyFont="1" applyBorder="1"/>
    <xf numFmtId="0" fontId="0" fillId="0" borderId="3" xfId="0" applyBorder="1" applyAlignment="1">
      <alignment horizontal="center"/>
    </xf>
    <xf numFmtId="164" fontId="6" fillId="0" borderId="13" xfId="0" applyNumberFormat="1" applyFont="1" applyBorder="1" applyAlignment="1">
      <alignment horizontal="center"/>
    </xf>
    <xf numFmtId="0" fontId="10" fillId="0" borderId="14" xfId="0" applyFont="1" applyBorder="1"/>
    <xf numFmtId="0" fontId="8" fillId="0" borderId="12" xfId="0" applyFont="1" applyBorder="1"/>
    <xf numFmtId="2" fontId="8" fillId="0" borderId="14" xfId="0" applyNumberFormat="1" applyFont="1" applyBorder="1"/>
    <xf numFmtId="2" fontId="0" fillId="0" borderId="8" xfId="0" applyNumberFormat="1" applyBorder="1"/>
    <xf numFmtId="0" fontId="0" fillId="0" borderId="0" xfId="0"/>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12" xfId="0" applyBorder="1"/>
    <xf numFmtId="0" fontId="6" fillId="0" borderId="1" xfId="0" applyFont="1" applyBorder="1"/>
    <xf numFmtId="0" fontId="9" fillId="0" borderId="4" xfId="0" applyFont="1" applyBorder="1" applyAlignment="1">
      <alignment horizontal="center"/>
    </xf>
    <xf numFmtId="0" fontId="0" fillId="0" borderId="13" xfId="0" applyBorder="1"/>
    <xf numFmtId="0" fontId="6" fillId="0" borderId="5" xfId="0" applyFont="1" applyBorder="1" applyAlignment="1">
      <alignment horizontal="right"/>
    </xf>
    <xf numFmtId="0" fontId="6" fillId="0" borderId="4" xfId="0" applyFont="1" applyBorder="1" applyAlignment="1">
      <alignment horizontal="left"/>
    </xf>
    <xf numFmtId="0" fontId="11" fillId="0" borderId="9" xfId="0" applyFont="1" applyBorder="1" applyAlignment="1">
      <alignment horizontal="center"/>
    </xf>
    <xf numFmtId="0" fontId="8" fillId="0" borderId="6" xfId="0" applyFont="1" applyBorder="1"/>
    <xf numFmtId="0" fontId="8" fillId="0" borderId="12" xfId="0" applyFont="1" applyBorder="1" applyAlignment="1">
      <alignment horizontal="center"/>
    </xf>
    <xf numFmtId="0" fontId="6" fillId="0" borderId="15" xfId="0" applyFont="1" applyBorder="1" applyAlignment="1">
      <alignment horizontal="center"/>
    </xf>
    <xf numFmtId="0" fontId="6" fillId="0" borderId="9" xfId="0" applyFont="1" applyBorder="1" applyAlignment="1">
      <alignment horizontal="center"/>
    </xf>
    <xf numFmtId="0" fontId="6" fillId="0" borderId="14" xfId="0" applyFont="1" applyBorder="1" applyAlignment="1">
      <alignment horizontal="center"/>
    </xf>
    <xf numFmtId="2" fontId="0" fillId="0" borderId="0" xfId="0" applyNumberFormat="1"/>
    <xf numFmtId="2" fontId="0" fillId="0" borderId="3" xfId="0" applyNumberFormat="1" applyBorder="1"/>
    <xf numFmtId="2" fontId="0" fillId="0" borderId="15" xfId="0" applyNumberFormat="1" applyBorder="1"/>
    <xf numFmtId="164" fontId="8" fillId="0" borderId="7" xfId="0" quotePrefix="1" applyNumberFormat="1" applyFont="1" applyBorder="1"/>
    <xf numFmtId="0" fontId="8" fillId="0" borderId="4" xfId="0" quotePrefix="1" applyFont="1" applyBorder="1"/>
    <xf numFmtId="0" fontId="0" fillId="5" borderId="0" xfId="0" applyFill="1"/>
    <xf numFmtId="0" fontId="6" fillId="5" borderId="0" xfId="0" applyFont="1" applyFill="1"/>
    <xf numFmtId="2" fontId="0" fillId="5" borderId="0" xfId="0" applyNumberFormat="1" applyFill="1"/>
    <xf numFmtId="0" fontId="8" fillId="5" borderId="0" xfId="0" applyFont="1" applyFill="1"/>
    <xf numFmtId="0" fontId="0" fillId="5" borderId="0" xfId="0" applyFill="1" applyAlignment="1">
      <alignment horizontal="center"/>
    </xf>
    <xf numFmtId="164" fontId="0" fillId="5" borderId="0" xfId="0" applyNumberFormat="1" applyFill="1" applyAlignment="1">
      <alignment horizontal="center"/>
    </xf>
    <xf numFmtId="20" fontId="0" fillId="5" borderId="32" xfId="0" applyNumberFormat="1" applyFill="1" applyBorder="1"/>
    <xf numFmtId="0" fontId="5" fillId="5" borderId="0" xfId="0" applyFont="1" applyFill="1"/>
    <xf numFmtId="20" fontId="0" fillId="0" borderId="9" xfId="0" applyNumberFormat="1" applyFill="1" applyBorder="1"/>
    <xf numFmtId="0" fontId="6" fillId="0" borderId="8" xfId="0" applyFont="1" applyBorder="1" applyAlignment="1">
      <alignment horizontal="right"/>
    </xf>
    <xf numFmtId="2" fontId="0" fillId="0" borderId="7" xfId="0" applyNumberFormat="1" applyBorder="1"/>
    <xf numFmtId="20" fontId="0" fillId="0" borderId="9" xfId="0" applyNumberFormat="1" applyFill="1" applyBorder="1" applyAlignment="1">
      <alignment horizontal="center"/>
    </xf>
    <xf numFmtId="2" fontId="0" fillId="0" borderId="9" xfId="0" applyNumberFormat="1" applyBorder="1" applyAlignment="1">
      <alignment horizontal="center"/>
    </xf>
    <xf numFmtId="0" fontId="34" fillId="5" borderId="0" xfId="0" applyFont="1" applyFill="1"/>
    <xf numFmtId="2" fontId="37" fillId="0" borderId="9" xfId="0" applyNumberFormat="1" applyFont="1" applyBorder="1"/>
    <xf numFmtId="4" fontId="37" fillId="0" borderId="9" xfId="0" applyNumberFormat="1" applyFont="1" applyBorder="1"/>
    <xf numFmtId="0" fontId="0" fillId="10" borderId="11" xfId="0" applyFill="1" applyBorder="1"/>
    <xf numFmtId="0" fontId="14" fillId="10" borderId="9" xfId="0" applyFont="1" applyFill="1" applyBorder="1"/>
    <xf numFmtId="0" fontId="16" fillId="10" borderId="9" xfId="0" applyFont="1" applyFill="1" applyBorder="1" applyAlignment="1">
      <alignment horizontal="center"/>
    </xf>
    <xf numFmtId="0" fontId="13" fillId="10" borderId="10" xfId="0" applyFont="1" applyFill="1" applyBorder="1"/>
    <xf numFmtId="0" fontId="16" fillId="0" borderId="9" xfId="0" applyFont="1" applyFill="1" applyBorder="1" applyAlignment="1">
      <alignment horizontal="center"/>
    </xf>
    <xf numFmtId="0" fontId="8" fillId="0" borderId="9" xfId="0" applyFont="1" applyFill="1" applyBorder="1"/>
    <xf numFmtId="0" fontId="0" fillId="0" borderId="0" xfId="0" applyFill="1" applyBorder="1"/>
    <xf numFmtId="4" fontId="22" fillId="0" borderId="13" xfId="0" applyNumberFormat="1" applyFont="1" applyFill="1" applyBorder="1"/>
    <xf numFmtId="2" fontId="30" fillId="0" borderId="2" xfId="0" applyNumberFormat="1" applyFont="1" applyBorder="1" applyAlignment="1">
      <alignment horizontal="center"/>
    </xf>
    <xf numFmtId="2" fontId="0" fillId="0" borderId="11" xfId="0" applyNumberFormat="1" applyBorder="1"/>
    <xf numFmtId="0" fontId="8" fillId="5" borderId="0" xfId="0" applyFont="1" applyFill="1" applyBorder="1"/>
    <xf numFmtId="0" fontId="8" fillId="5" borderId="0" xfId="0" applyFont="1" applyFill="1" applyBorder="1" applyAlignment="1">
      <alignment horizontal="center"/>
    </xf>
    <xf numFmtId="0" fontId="6" fillId="0" borderId="6" xfId="0" applyFont="1" applyBorder="1" applyAlignment="1">
      <alignment horizontal="right"/>
    </xf>
    <xf numFmtId="0" fontId="6" fillId="0" borderId="7" xfId="0" applyFont="1" applyBorder="1" applyAlignment="1">
      <alignment horizontal="right"/>
    </xf>
    <xf numFmtId="0" fontId="0" fillId="10" borderId="13" xfId="0" applyFill="1" applyBorder="1"/>
    <xf numFmtId="0" fontId="7" fillId="0" borderId="10" xfId="0" applyFont="1" applyFill="1" applyBorder="1"/>
    <xf numFmtId="0" fontId="0" fillId="0" borderId="11" xfId="0" applyFill="1" applyBorder="1"/>
    <xf numFmtId="0" fontId="14" fillId="0" borderId="9" xfId="0" applyFont="1" applyFill="1" applyBorder="1"/>
    <xf numFmtId="0" fontId="0" fillId="0" borderId="13" xfId="0" applyFill="1" applyBorder="1"/>
    <xf numFmtId="2" fontId="37" fillId="0" borderId="9" xfId="0" applyNumberFormat="1" applyFont="1" applyFill="1" applyBorder="1"/>
    <xf numFmtId="2" fontId="19" fillId="0" borderId="13" xfId="0" applyNumberFormat="1" applyFont="1" applyFill="1" applyBorder="1" applyAlignment="1">
      <alignment horizontal="center"/>
    </xf>
    <xf numFmtId="0" fontId="13" fillId="0" borderId="10" xfId="0" applyFont="1" applyFill="1" applyBorder="1"/>
    <xf numFmtId="0" fontId="0" fillId="0" borderId="7" xfId="0" applyFill="1" applyBorder="1"/>
    <xf numFmtId="4" fontId="8" fillId="0" borderId="13" xfId="0" applyNumberFormat="1" applyFont="1" applyFill="1" applyBorder="1"/>
    <xf numFmtId="4" fontId="21" fillId="0" borderId="13" xfId="0" applyNumberFormat="1" applyFont="1" applyFill="1" applyBorder="1"/>
    <xf numFmtId="2" fontId="37" fillId="10" borderId="9" xfId="0" applyNumberFormat="1" applyFont="1" applyFill="1" applyBorder="1"/>
    <xf numFmtId="0" fontId="5" fillId="0" borderId="0" xfId="0" applyFont="1" applyBorder="1"/>
    <xf numFmtId="0" fontId="7" fillId="0" borderId="6" xfId="0" applyFont="1" applyFill="1" applyBorder="1"/>
    <xf numFmtId="0" fontId="0" fillId="0" borderId="8" xfId="0" applyFill="1" applyBorder="1"/>
    <xf numFmtId="0" fontId="16" fillId="0" borderId="15" xfId="0" applyFont="1" applyFill="1" applyBorder="1" applyAlignment="1">
      <alignment horizontal="center"/>
    </xf>
    <xf numFmtId="0" fontId="14" fillId="0" borderId="15" xfId="0" applyFont="1" applyFill="1" applyBorder="1"/>
    <xf numFmtId="2" fontId="37" fillId="0" borderId="15" xfId="0" applyNumberFormat="1" applyFont="1" applyBorder="1"/>
    <xf numFmtId="0" fontId="0" fillId="0" borderId="38" xfId="0" applyFill="1" applyBorder="1"/>
    <xf numFmtId="0" fontId="14" fillId="0" borderId="39" xfId="0" applyFont="1" applyFill="1" applyBorder="1"/>
    <xf numFmtId="0" fontId="0" fillId="0" borderId="46" xfId="0" applyFill="1" applyBorder="1"/>
    <xf numFmtId="2" fontId="19" fillId="0" borderId="46" xfId="0" applyNumberFormat="1" applyFont="1" applyFill="1" applyBorder="1" applyAlignment="1">
      <alignment horizontal="center"/>
    </xf>
    <xf numFmtId="2" fontId="37" fillId="0" borderId="39" xfId="0" applyNumberFormat="1" applyFont="1" applyBorder="1"/>
    <xf numFmtId="0" fontId="0" fillId="0" borderId="22" xfId="0" applyFill="1" applyBorder="1"/>
    <xf numFmtId="0" fontId="16" fillId="0" borderId="33" xfId="0" applyFont="1" applyFill="1" applyBorder="1" applyAlignment="1">
      <alignment horizontal="center"/>
    </xf>
    <xf numFmtId="0" fontId="14" fillId="0" borderId="33" xfId="0" applyFont="1" applyFill="1" applyBorder="1"/>
    <xf numFmtId="0" fontId="0" fillId="0" borderId="24" xfId="0" applyFill="1" applyBorder="1"/>
    <xf numFmtId="2" fontId="19" fillId="0" borderId="24" xfId="0" applyNumberFormat="1" applyFont="1" applyFill="1" applyBorder="1" applyAlignment="1">
      <alignment horizontal="center"/>
    </xf>
    <xf numFmtId="2" fontId="37" fillId="0" borderId="33" xfId="0" applyNumberFormat="1" applyFont="1" applyBorder="1"/>
    <xf numFmtId="0" fontId="11" fillId="0" borderId="14" xfId="0" applyFont="1" applyBorder="1" applyAlignment="1">
      <alignment horizontal="center"/>
    </xf>
    <xf numFmtId="164" fontId="34" fillId="0" borderId="13" xfId="0" applyNumberFormat="1" applyFont="1" applyBorder="1" applyAlignment="1">
      <alignment horizontal="center"/>
    </xf>
    <xf numFmtId="2" fontId="0" fillId="0" borderId="14" xfId="0" applyNumberFormat="1" applyBorder="1"/>
    <xf numFmtId="0" fontId="8" fillId="0" borderId="15" xfId="0" applyFont="1" applyFill="1" applyBorder="1"/>
    <xf numFmtId="0" fontId="8" fillId="0" borderId="33" xfId="0" applyFont="1" applyFill="1" applyBorder="1"/>
    <xf numFmtId="0" fontId="0" fillId="0" borderId="30" xfId="0" applyFill="1" applyBorder="1"/>
    <xf numFmtId="4" fontId="22" fillId="0" borderId="24" xfId="0" applyNumberFormat="1" applyFont="1" applyFill="1" applyBorder="1"/>
    <xf numFmtId="0" fontId="8" fillId="0" borderId="47" xfId="0" applyFont="1" applyFill="1" applyBorder="1" applyAlignment="1">
      <alignment horizontal="center"/>
    </xf>
    <xf numFmtId="0" fontId="8" fillId="10" borderId="16" xfId="0" applyFont="1" applyFill="1" applyBorder="1" applyAlignment="1">
      <alignment horizontal="left"/>
    </xf>
    <xf numFmtId="0" fontId="8" fillId="10" borderId="17" xfId="0" applyFont="1" applyFill="1" applyBorder="1" applyAlignment="1">
      <alignment horizontal="left"/>
    </xf>
    <xf numFmtId="0" fontId="8" fillId="10" borderId="19" xfId="0" applyFont="1" applyFill="1" applyBorder="1" applyAlignment="1">
      <alignment horizontal="left"/>
    </xf>
    <xf numFmtId="12" fontId="37" fillId="0" borderId="9" xfId="0" applyNumberFormat="1" applyFont="1" applyFill="1" applyBorder="1"/>
    <xf numFmtId="12" fontId="37" fillId="0" borderId="15" xfId="0" applyNumberFormat="1" applyFont="1" applyFill="1" applyBorder="1"/>
    <xf numFmtId="12" fontId="37" fillId="0" borderId="15" xfId="0" applyNumberFormat="1" applyFont="1" applyBorder="1"/>
    <xf numFmtId="12" fontId="35" fillId="0" borderId="15" xfId="0" applyNumberFormat="1" applyFont="1" applyFill="1" applyBorder="1" applyAlignment="1">
      <alignment horizontal="center"/>
    </xf>
    <xf numFmtId="12" fontId="35" fillId="0" borderId="13" xfId="0" applyNumberFormat="1" applyFont="1" applyFill="1" applyBorder="1" applyAlignment="1">
      <alignment horizontal="center"/>
    </xf>
    <xf numFmtId="12" fontId="19" fillId="0" borderId="15" xfId="0" applyNumberFormat="1" applyFont="1" applyFill="1" applyBorder="1" applyAlignment="1">
      <alignment horizontal="center"/>
    </xf>
    <xf numFmtId="12" fontId="20" fillId="0" borderId="9" xfId="0" applyNumberFormat="1" applyFont="1" applyBorder="1"/>
    <xf numFmtId="20" fontId="0" fillId="5" borderId="48" xfId="0" applyNumberFormat="1" applyFill="1" applyBorder="1"/>
    <xf numFmtId="0" fontId="0" fillId="5" borderId="5" xfId="0" applyFill="1" applyBorder="1"/>
    <xf numFmtId="0" fontId="0" fillId="5" borderId="0" xfId="0" applyFill="1" applyBorder="1"/>
    <xf numFmtId="166" fontId="19" fillId="5" borderId="49" xfId="0" applyNumberFormat="1" applyFont="1" applyFill="1" applyBorder="1" applyAlignment="1">
      <alignment horizontal="center"/>
    </xf>
    <xf numFmtId="166" fontId="19" fillId="5" borderId="50" xfId="0" applyNumberFormat="1" applyFont="1" applyFill="1" applyBorder="1" applyAlignment="1">
      <alignment horizontal="center"/>
    </xf>
    <xf numFmtId="166" fontId="19" fillId="5" borderId="51" xfId="0" applyNumberFormat="1" applyFont="1" applyFill="1" applyBorder="1" applyAlignment="1">
      <alignment horizontal="center"/>
    </xf>
    <xf numFmtId="2" fontId="19" fillId="5" borderId="1" xfId="0" applyNumberFormat="1" applyFont="1" applyFill="1" applyBorder="1" applyAlignment="1">
      <alignment horizontal="center"/>
    </xf>
    <xf numFmtId="166" fontId="19" fillId="5" borderId="12" xfId="0" applyNumberFormat="1" applyFont="1" applyFill="1" applyBorder="1" applyAlignment="1">
      <alignment horizontal="center"/>
    </xf>
    <xf numFmtId="2" fontId="0" fillId="5" borderId="4" xfId="0" applyNumberFormat="1" applyFill="1" applyBorder="1"/>
    <xf numFmtId="166" fontId="35" fillId="0" borderId="39" xfId="0" applyNumberFormat="1" applyFont="1" applyFill="1" applyBorder="1" applyAlignment="1">
      <alignment horizontal="center"/>
    </xf>
    <xf numFmtId="166" fontId="35" fillId="0" borderId="46" xfId="0" applyNumberFormat="1" applyFont="1" applyFill="1" applyBorder="1" applyAlignment="1">
      <alignment horizontal="center"/>
    </xf>
    <xf numFmtId="166" fontId="35" fillId="0" borderId="15" xfId="0" applyNumberFormat="1" applyFont="1" applyFill="1" applyBorder="1" applyAlignment="1">
      <alignment horizontal="center"/>
    </xf>
    <xf numFmtId="166" fontId="35" fillId="0" borderId="9" xfId="0" applyNumberFormat="1" applyFont="1" applyFill="1" applyBorder="1" applyAlignment="1">
      <alignment horizontal="center"/>
    </xf>
    <xf numFmtId="166" fontId="36" fillId="0" borderId="9" xfId="0" applyNumberFormat="1" applyFont="1" applyFill="1" applyBorder="1" applyAlignment="1">
      <alignment horizontal="center"/>
    </xf>
    <xf numFmtId="167" fontId="10" fillId="2" borderId="0" xfId="0" applyNumberFormat="1" applyFont="1" applyFill="1"/>
    <xf numFmtId="167" fontId="5" fillId="0" borderId="15" xfId="0" applyNumberFormat="1" applyFont="1" applyFill="1" applyBorder="1" applyAlignment="1">
      <alignment horizontal="center"/>
    </xf>
    <xf numFmtId="167" fontId="5" fillId="0" borderId="9" xfId="0" applyNumberFormat="1" applyFont="1" applyFill="1" applyBorder="1" applyAlignment="1">
      <alignment horizontal="center"/>
    </xf>
    <xf numFmtId="167" fontId="5" fillId="0" borderId="14" xfId="0" applyNumberFormat="1" applyFont="1" applyFill="1" applyBorder="1" applyAlignment="1">
      <alignment horizontal="center"/>
    </xf>
    <xf numFmtId="167" fontId="28" fillId="3" borderId="23" xfId="0" applyNumberFormat="1" applyFont="1" applyFill="1" applyBorder="1" applyAlignment="1" applyProtection="1">
      <alignment horizontal="center"/>
    </xf>
    <xf numFmtId="167" fontId="28" fillId="3" borderId="24" xfId="0" applyNumberFormat="1" applyFont="1" applyFill="1" applyBorder="1" applyAlignment="1" applyProtection="1">
      <alignment horizontal="center"/>
    </xf>
    <xf numFmtId="167" fontId="28" fillId="3" borderId="25" xfId="0" applyNumberFormat="1" applyFont="1" applyFill="1" applyBorder="1" applyAlignment="1" applyProtection="1"/>
    <xf numFmtId="167" fontId="28" fillId="4" borderId="26" xfId="0" applyNumberFormat="1" applyFont="1" applyFill="1" applyBorder="1" applyAlignment="1" applyProtection="1">
      <alignment horizontal="center"/>
    </xf>
    <xf numFmtId="167" fontId="28" fillId="4" borderId="24" xfId="0" applyNumberFormat="1" applyFont="1" applyFill="1" applyBorder="1" applyAlignment="1" applyProtection="1">
      <alignment horizontal="center"/>
    </xf>
    <xf numFmtId="167" fontId="8" fillId="4" borderId="25" xfId="0" applyNumberFormat="1" applyFont="1" applyFill="1" applyBorder="1" applyAlignment="1" applyProtection="1"/>
    <xf numFmtId="167" fontId="28" fillId="2" borderId="26" xfId="0" applyNumberFormat="1" applyFont="1" applyFill="1" applyBorder="1" applyAlignment="1" applyProtection="1">
      <alignment horizontal="center"/>
    </xf>
    <xf numFmtId="167" fontId="28" fillId="2" borderId="24" xfId="0" applyNumberFormat="1" applyFont="1" applyFill="1" applyBorder="1" applyAlignment="1" applyProtection="1">
      <alignment horizontal="center"/>
    </xf>
    <xf numFmtId="167" fontId="8" fillId="2" borderId="25" xfId="0" applyNumberFormat="1" applyFont="1" applyFill="1" applyBorder="1" applyAlignment="1" applyProtection="1"/>
    <xf numFmtId="167" fontId="28" fillId="6" borderId="26" xfId="0" applyNumberFormat="1" applyFont="1" applyFill="1" applyBorder="1" applyAlignment="1" applyProtection="1">
      <alignment horizontal="center"/>
    </xf>
    <xf numFmtId="167" fontId="28" fillId="6" borderId="24" xfId="0" applyNumberFormat="1" applyFont="1" applyFill="1" applyBorder="1" applyAlignment="1" applyProtection="1">
      <alignment horizontal="center"/>
    </xf>
    <xf numFmtId="167" fontId="8" fillId="6" borderId="25" xfId="0" applyNumberFormat="1" applyFont="1" applyFill="1" applyBorder="1" applyAlignment="1" applyProtection="1"/>
    <xf numFmtId="167" fontId="28" fillId="7" borderId="26" xfId="0" applyNumberFormat="1" applyFont="1" applyFill="1" applyBorder="1" applyAlignment="1" applyProtection="1">
      <alignment horizontal="center"/>
    </xf>
    <xf numFmtId="167" fontId="28" fillId="7" borderId="24" xfId="0" applyNumberFormat="1" applyFont="1" applyFill="1" applyBorder="1" applyAlignment="1" applyProtection="1">
      <alignment horizontal="center"/>
    </xf>
    <xf numFmtId="167" fontId="8" fillId="7" borderId="25" xfId="0" applyNumberFormat="1" applyFont="1" applyFill="1" applyBorder="1" applyAlignment="1" applyProtection="1"/>
    <xf numFmtId="167" fontId="28" fillId="8" borderId="24" xfId="0" applyNumberFormat="1" applyFont="1" applyFill="1" applyBorder="1" applyAlignment="1" applyProtection="1">
      <alignment horizontal="center"/>
    </xf>
    <xf numFmtId="167" fontId="8" fillId="8" borderId="25" xfId="0" applyNumberFormat="1" applyFont="1" applyFill="1" applyBorder="1" applyAlignment="1" applyProtection="1"/>
    <xf numFmtId="167" fontId="8" fillId="9" borderId="24" xfId="0" applyNumberFormat="1" applyFont="1" applyFill="1" applyBorder="1" applyAlignment="1" applyProtection="1">
      <alignment horizontal="center"/>
    </xf>
    <xf numFmtId="167" fontId="0" fillId="2" borderId="0" xfId="0" applyNumberFormat="1" applyFill="1"/>
    <xf numFmtId="167" fontId="0" fillId="5" borderId="0" xfId="0" applyNumberFormat="1" applyFill="1"/>
    <xf numFmtId="167" fontId="8" fillId="0" borderId="0" xfId="0" applyNumberFormat="1" applyFont="1"/>
    <xf numFmtId="167" fontId="0" fillId="0" borderId="9" xfId="0" applyNumberFormat="1" applyFill="1" applyBorder="1" applyAlignment="1">
      <alignment horizontal="center"/>
    </xf>
    <xf numFmtId="167" fontId="37" fillId="0" borderId="39" xfId="0" applyNumberFormat="1" applyFont="1" applyFill="1" applyBorder="1"/>
    <xf numFmtId="167" fontId="37" fillId="0" borderId="39" xfId="0" applyNumberFormat="1" applyFont="1" applyBorder="1"/>
    <xf numFmtId="167" fontId="37" fillId="0" borderId="9" xfId="0" applyNumberFormat="1" applyFont="1" applyFill="1" applyBorder="1"/>
    <xf numFmtId="167" fontId="37" fillId="0" borderId="33" xfId="0" applyNumberFormat="1" applyFont="1" applyFill="1" applyBorder="1"/>
    <xf numFmtId="167" fontId="37" fillId="0" borderId="15" xfId="0" applyNumberFormat="1" applyFont="1" applyFill="1" applyBorder="1"/>
    <xf numFmtId="167" fontId="37" fillId="0" borderId="9" xfId="0" applyNumberFormat="1" applyFont="1" applyBorder="1"/>
    <xf numFmtId="167" fontId="37" fillId="0" borderId="33" xfId="0" applyNumberFormat="1" applyFont="1" applyBorder="1"/>
    <xf numFmtId="167" fontId="37" fillId="0" borderId="15" xfId="0" applyNumberFormat="1" applyFont="1" applyBorder="1"/>
    <xf numFmtId="167" fontId="37" fillId="10" borderId="9" xfId="0" applyNumberFormat="1" applyFont="1" applyFill="1" applyBorder="1"/>
    <xf numFmtId="0" fontId="0" fillId="5" borderId="0" xfId="0" applyFill="1" applyAlignment="1">
      <alignment horizontal="right"/>
    </xf>
    <xf numFmtId="0" fontId="5" fillId="5" borderId="0" xfId="0" applyFont="1" applyFill="1" applyAlignment="1">
      <alignment horizontal="right"/>
    </xf>
    <xf numFmtId="2" fontId="0" fillId="5" borderId="0" xfId="0" applyNumberFormat="1" applyFill="1" applyBorder="1"/>
    <xf numFmtId="166" fontId="19" fillId="5" borderId="0" xfId="0" applyNumberFormat="1" applyFont="1" applyFill="1" applyBorder="1" applyAlignment="1">
      <alignment horizontal="center"/>
    </xf>
    <xf numFmtId="0" fontId="0" fillId="0" borderId="0" xfId="0" applyBorder="1" applyAlignment="1">
      <alignment horizontal="center"/>
    </xf>
    <xf numFmtId="2" fontId="5" fillId="0" borderId="0" xfId="0" applyNumberFormat="1" applyFont="1" applyBorder="1"/>
    <xf numFmtId="2" fontId="8" fillId="0" borderId="0" xfId="0" applyNumberFormat="1" applyFont="1" applyBorder="1" applyAlignment="1">
      <alignment horizontal="right"/>
    </xf>
    <xf numFmtId="2" fontId="29" fillId="0" borderId="0" xfId="0" applyNumberFormat="1" applyFont="1" applyBorder="1" applyAlignment="1">
      <alignment horizontal="center"/>
    </xf>
    <xf numFmtId="0" fontId="18" fillId="0" borderId="0" xfId="0" applyFont="1" applyBorder="1"/>
    <xf numFmtId="0" fontId="0" fillId="0" borderId="0" xfId="0" quotePrefix="1" applyBorder="1"/>
    <xf numFmtId="2" fontId="0" fillId="0" borderId="0" xfId="0" applyNumberFormat="1" applyFill="1" applyBorder="1"/>
    <xf numFmtId="0" fontId="7" fillId="0" borderId="53" xfId="0" applyFont="1" applyFill="1" applyBorder="1"/>
    <xf numFmtId="0" fontId="7" fillId="0" borderId="44" xfId="0" applyFont="1" applyFill="1" applyBorder="1"/>
    <xf numFmtId="166" fontId="37" fillId="0" borderId="9" xfId="0" applyNumberFormat="1" applyFont="1" applyBorder="1"/>
    <xf numFmtId="0" fontId="12" fillId="0" borderId="4" xfId="0" applyFont="1" applyBorder="1"/>
    <xf numFmtId="2" fontId="0" fillId="0" borderId="5" xfId="0" applyNumberFormat="1" applyBorder="1"/>
    <xf numFmtId="167" fontId="8" fillId="0" borderId="5" xfId="0" applyNumberFormat="1" applyFont="1" applyBorder="1" applyAlignment="1">
      <alignment horizontal="left"/>
    </xf>
    <xf numFmtId="0" fontId="0" fillId="5" borderId="0" xfId="0" applyFill="1" applyAlignment="1"/>
    <xf numFmtId="166" fontId="37" fillId="10" borderId="15" xfId="0" applyNumberFormat="1" applyFont="1" applyFill="1" applyBorder="1" applyAlignment="1">
      <alignment horizontal="center"/>
    </xf>
    <xf numFmtId="0" fontId="5" fillId="0" borderId="7" xfId="0" applyFont="1" applyBorder="1"/>
    <xf numFmtId="0" fontId="8" fillId="0" borderId="13" xfId="0" applyFont="1" applyFill="1" applyBorder="1"/>
    <xf numFmtId="12" fontId="37" fillId="0" borderId="13" xfId="0" applyNumberFormat="1" applyFont="1" applyFill="1" applyBorder="1"/>
    <xf numFmtId="12" fontId="37" fillId="0" borderId="13" xfId="0" applyNumberFormat="1" applyFont="1" applyBorder="1"/>
    <xf numFmtId="4" fontId="37" fillId="0" borderId="13" xfId="0" applyNumberFormat="1" applyFont="1" applyBorder="1"/>
    <xf numFmtId="166" fontId="35" fillId="0" borderId="24" xfId="0" applyNumberFormat="1" applyFont="1" applyBorder="1" applyAlignment="1">
      <alignment horizontal="center"/>
    </xf>
    <xf numFmtId="4" fontId="22" fillId="0" borderId="15" xfId="0" applyNumberFormat="1" applyFont="1" applyFill="1" applyBorder="1"/>
    <xf numFmtId="0" fontId="5" fillId="0" borderId="11" xfId="0" applyFont="1" applyFill="1" applyBorder="1"/>
    <xf numFmtId="0" fontId="5" fillId="0" borderId="15" xfId="0" applyFont="1" applyFill="1" applyBorder="1"/>
    <xf numFmtId="2" fontId="19" fillId="0" borderId="15" xfId="0" applyNumberFormat="1" applyFont="1" applyFill="1" applyBorder="1" applyAlignment="1">
      <alignment horizontal="center"/>
    </xf>
    <xf numFmtId="0" fontId="0" fillId="0" borderId="9" xfId="0" applyFill="1" applyBorder="1"/>
    <xf numFmtId="2" fontId="19" fillId="0" borderId="9" xfId="0" applyNumberFormat="1" applyFont="1" applyFill="1" applyBorder="1" applyAlignment="1">
      <alignment horizontal="center"/>
    </xf>
    <xf numFmtId="0" fontId="0" fillId="0" borderId="33" xfId="0" applyFill="1" applyBorder="1"/>
    <xf numFmtId="2" fontId="19" fillId="0" borderId="33" xfId="0" applyNumberFormat="1" applyFont="1" applyFill="1" applyBorder="1" applyAlignment="1">
      <alignment horizontal="center"/>
    </xf>
    <xf numFmtId="0" fontId="5" fillId="0" borderId="39" xfId="0" applyFont="1" applyFill="1" applyBorder="1"/>
    <xf numFmtId="0" fontId="5" fillId="0" borderId="9" xfId="0" applyFont="1" applyFill="1" applyBorder="1"/>
    <xf numFmtId="0" fontId="7" fillId="0" borderId="9" xfId="0" applyFont="1" applyFill="1" applyBorder="1" applyAlignment="1">
      <alignment horizontal="center"/>
    </xf>
    <xf numFmtId="0" fontId="7" fillId="0" borderId="15" xfId="0" applyFont="1" applyFill="1" applyBorder="1" applyAlignment="1">
      <alignment horizontal="center"/>
    </xf>
    <xf numFmtId="0" fontId="7" fillId="0" borderId="33" xfId="0" applyFont="1" applyFill="1" applyBorder="1" applyAlignment="1">
      <alignment horizontal="center"/>
    </xf>
    <xf numFmtId="0" fontId="7" fillId="0" borderId="13" xfId="0" applyFont="1" applyFill="1" applyBorder="1" applyAlignment="1">
      <alignment horizontal="center"/>
    </xf>
    <xf numFmtId="0" fontId="0" fillId="0" borderId="15" xfId="0" applyFill="1" applyBorder="1"/>
    <xf numFmtId="166" fontId="37" fillId="0" borderId="15" xfId="0" applyNumberFormat="1" applyFont="1" applyBorder="1"/>
    <xf numFmtId="0" fontId="7" fillId="0" borderId="57" xfId="0" applyFont="1" applyFill="1" applyBorder="1"/>
    <xf numFmtId="0" fontId="0" fillId="0" borderId="26" xfId="0" applyFill="1" applyBorder="1"/>
    <xf numFmtId="0" fontId="16" fillId="0" borderId="24" xfId="0" applyFont="1" applyFill="1" applyBorder="1" applyAlignment="1">
      <alignment horizontal="center"/>
    </xf>
    <xf numFmtId="0" fontId="14" fillId="0" borderId="24" xfId="0" applyFont="1" applyFill="1" applyBorder="1"/>
    <xf numFmtId="167" fontId="37" fillId="0" borderId="24" xfId="0" applyNumberFormat="1" applyFont="1" applyFill="1" applyBorder="1"/>
    <xf numFmtId="2" fontId="37" fillId="0" borderId="24" xfId="0" applyNumberFormat="1" applyFont="1" applyBorder="1"/>
    <xf numFmtId="0" fontId="13" fillId="0" borderId="44" xfId="0" applyFont="1" applyBorder="1"/>
    <xf numFmtId="0" fontId="0" fillId="0" borderId="22" xfId="0" applyBorder="1"/>
    <xf numFmtId="0" fontId="0" fillId="0" borderId="33" xfId="0" applyBorder="1"/>
    <xf numFmtId="0" fontId="0" fillId="0" borderId="24" xfId="0" applyBorder="1"/>
    <xf numFmtId="166" fontId="37" fillId="0" borderId="24" xfId="0" applyNumberFormat="1" applyFont="1" applyBorder="1" applyAlignment="1">
      <alignment horizontal="center"/>
    </xf>
    <xf numFmtId="2" fontId="19" fillId="0" borderId="24" xfId="0" applyNumberFormat="1" applyFont="1" applyBorder="1" applyAlignment="1">
      <alignment horizontal="center"/>
    </xf>
    <xf numFmtId="0" fontId="0" fillId="5" borderId="0" xfId="0" quotePrefix="1" applyFill="1"/>
    <xf numFmtId="167" fontId="5" fillId="0" borderId="14" xfId="0" quotePrefix="1" applyNumberFormat="1" applyFont="1" applyFill="1" applyBorder="1" applyAlignment="1">
      <alignment horizontal="center"/>
    </xf>
    <xf numFmtId="167" fontId="0" fillId="3" borderId="58" xfId="0" applyNumberFormat="1" applyFill="1" applyBorder="1" applyAlignment="1" applyProtection="1">
      <alignment horizontal="center"/>
    </xf>
    <xf numFmtId="167" fontId="0" fillId="4" borderId="5" xfId="0" applyNumberFormat="1" applyFill="1" applyBorder="1" applyAlignment="1" applyProtection="1">
      <alignment horizontal="center"/>
    </xf>
    <xf numFmtId="167" fontId="0" fillId="4" borderId="58" xfId="0" applyNumberFormat="1" applyFill="1" applyBorder="1" applyAlignment="1" applyProtection="1">
      <alignment horizontal="center"/>
    </xf>
    <xf numFmtId="167" fontId="0" fillId="2" borderId="5" xfId="0" applyNumberFormat="1" applyFill="1" applyBorder="1" applyAlignment="1" applyProtection="1">
      <alignment horizontal="center"/>
    </xf>
    <xf numFmtId="167" fontId="0" fillId="2" borderId="58" xfId="0" applyNumberFormat="1" applyFill="1" applyBorder="1" applyAlignment="1" applyProtection="1">
      <alignment horizontal="center"/>
    </xf>
    <xf numFmtId="167" fontId="0" fillId="6" borderId="5" xfId="0" applyNumberFormat="1" applyFill="1" applyBorder="1" applyAlignment="1" applyProtection="1">
      <alignment horizontal="center"/>
    </xf>
    <xf numFmtId="167" fontId="0" fillId="6" borderId="58" xfId="0" applyNumberFormat="1" applyFill="1" applyBorder="1" applyAlignment="1" applyProtection="1">
      <alignment horizontal="center"/>
    </xf>
    <xf numFmtId="167" fontId="0" fillId="7" borderId="5" xfId="0" applyNumberFormat="1" applyFill="1" applyBorder="1" applyAlignment="1" applyProtection="1">
      <alignment horizontal="center"/>
    </xf>
    <xf numFmtId="167" fontId="0" fillId="7" borderId="58" xfId="0" applyNumberFormat="1" applyFill="1" applyBorder="1" applyAlignment="1" applyProtection="1">
      <alignment horizontal="center"/>
    </xf>
    <xf numFmtId="167" fontId="0" fillId="8" borderId="5" xfId="0" applyNumberFormat="1" applyFill="1" applyBorder="1" applyAlignment="1" applyProtection="1">
      <alignment horizontal="center"/>
    </xf>
    <xf numFmtId="167" fontId="0" fillId="8" borderId="58" xfId="0" applyNumberFormat="1" applyFill="1" applyBorder="1" applyAlignment="1" applyProtection="1">
      <alignment horizontal="center"/>
    </xf>
    <xf numFmtId="167" fontId="0" fillId="9" borderId="35" xfId="0" applyNumberFormat="1" applyFill="1" applyBorder="1" applyAlignment="1" applyProtection="1">
      <alignment horizontal="center"/>
    </xf>
    <xf numFmtId="167" fontId="0" fillId="4" borderId="9" xfId="0" applyNumberFormat="1" applyFill="1" applyBorder="1" applyAlignment="1" applyProtection="1">
      <alignment horizontal="center"/>
    </xf>
    <xf numFmtId="167" fontId="0" fillId="2" borderId="9" xfId="0" applyNumberFormat="1" applyFill="1" applyBorder="1" applyAlignment="1" applyProtection="1">
      <alignment horizontal="center"/>
    </xf>
    <xf numFmtId="167" fontId="0" fillId="6" borderId="9" xfId="0" applyNumberFormat="1" applyFill="1" applyBorder="1" applyAlignment="1" applyProtection="1">
      <alignment horizontal="center"/>
    </xf>
    <xf numFmtId="167" fontId="0" fillId="7" borderId="9" xfId="0" applyNumberFormat="1" applyFill="1" applyBorder="1" applyAlignment="1" applyProtection="1">
      <alignment horizontal="center"/>
    </xf>
    <xf numFmtId="167" fontId="0" fillId="3" borderId="11" xfId="0" applyNumberFormat="1" applyFill="1" applyBorder="1" applyAlignment="1" applyProtection="1">
      <alignment horizontal="center"/>
    </xf>
    <xf numFmtId="165" fontId="0" fillId="0" borderId="59" xfId="0" applyNumberFormat="1" applyFill="1" applyBorder="1" applyAlignment="1" applyProtection="1">
      <alignment horizontal="center"/>
    </xf>
    <xf numFmtId="167" fontId="0" fillId="4" borderId="11" xfId="0" applyNumberFormat="1" applyFill="1" applyBorder="1" applyAlignment="1" applyProtection="1">
      <alignment horizontal="center"/>
    </xf>
    <xf numFmtId="167" fontId="0" fillId="3" borderId="59" xfId="0" applyNumberFormat="1" applyFill="1" applyBorder="1" applyAlignment="1" applyProtection="1">
      <alignment horizontal="center"/>
    </xf>
    <xf numFmtId="167" fontId="0" fillId="2" borderId="11" xfId="0" applyNumberFormat="1" applyFill="1" applyBorder="1" applyAlignment="1" applyProtection="1">
      <alignment horizontal="center"/>
    </xf>
    <xf numFmtId="167" fontId="0" fillId="4" borderId="59" xfId="0" applyNumberFormat="1" applyFill="1" applyBorder="1" applyAlignment="1" applyProtection="1">
      <alignment horizontal="center"/>
    </xf>
    <xf numFmtId="167" fontId="0" fillId="6" borderId="11" xfId="0" applyNumberFormat="1" applyFill="1" applyBorder="1" applyAlignment="1" applyProtection="1">
      <alignment horizontal="center"/>
    </xf>
    <xf numFmtId="167" fontId="0" fillId="2" borderId="59" xfId="0" applyNumberFormat="1" applyFill="1" applyBorder="1" applyAlignment="1" applyProtection="1">
      <alignment horizontal="center"/>
    </xf>
    <xf numFmtId="167" fontId="0" fillId="7" borderId="11" xfId="0" applyNumberFormat="1" applyFill="1" applyBorder="1" applyAlignment="1" applyProtection="1">
      <alignment horizontal="center"/>
    </xf>
    <xf numFmtId="167" fontId="0" fillId="6" borderId="59" xfId="0" applyNumberFormat="1" applyFill="1" applyBorder="1" applyAlignment="1" applyProtection="1">
      <alignment horizontal="center"/>
    </xf>
    <xf numFmtId="167" fontId="0" fillId="8" borderId="11" xfId="0" applyNumberFormat="1" applyFill="1" applyBorder="1" applyAlignment="1" applyProtection="1">
      <alignment horizontal="center"/>
    </xf>
    <xf numFmtId="167" fontId="0" fillId="7" borderId="59" xfId="0" applyNumberFormat="1" applyFill="1" applyBorder="1" applyAlignment="1" applyProtection="1">
      <alignment horizontal="center"/>
    </xf>
    <xf numFmtId="167" fontId="0" fillId="9" borderId="11" xfId="0" applyNumberFormat="1" applyFill="1" applyBorder="1" applyAlignment="1" applyProtection="1">
      <alignment horizontal="center"/>
    </xf>
    <xf numFmtId="167" fontId="0" fillId="8" borderId="59" xfId="0" applyNumberFormat="1" applyFill="1" applyBorder="1" applyAlignment="1" applyProtection="1">
      <alignment horizontal="center"/>
    </xf>
    <xf numFmtId="166" fontId="5" fillId="0" borderId="9" xfId="0" applyNumberFormat="1" applyFont="1" applyFill="1" applyBorder="1" applyAlignment="1">
      <alignment horizontal="center"/>
    </xf>
    <xf numFmtId="166" fontId="35" fillId="11" borderId="46" xfId="0" applyNumberFormat="1" applyFont="1" applyFill="1" applyBorder="1" applyAlignment="1">
      <alignment horizontal="center"/>
    </xf>
    <xf numFmtId="167" fontId="35" fillId="11" borderId="46" xfId="0" applyNumberFormat="1" applyFont="1" applyFill="1" applyBorder="1" applyAlignment="1">
      <alignment horizontal="center"/>
    </xf>
    <xf numFmtId="166" fontId="35" fillId="11" borderId="9" xfId="0" applyNumberFormat="1" applyFont="1" applyFill="1" applyBorder="1" applyAlignment="1">
      <alignment horizontal="center"/>
    </xf>
    <xf numFmtId="166" fontId="36" fillId="11" borderId="9" xfId="0" applyNumberFormat="1" applyFont="1" applyFill="1" applyBorder="1" applyAlignment="1">
      <alignment horizontal="center"/>
    </xf>
    <xf numFmtId="166" fontId="35" fillId="11" borderId="39" xfId="0" applyNumberFormat="1" applyFont="1" applyFill="1" applyBorder="1" applyAlignment="1">
      <alignment horizontal="center"/>
    </xf>
    <xf numFmtId="166" fontId="35" fillId="11" borderId="15" xfId="0" applyNumberFormat="1" applyFont="1" applyFill="1" applyBorder="1" applyAlignment="1">
      <alignment horizontal="center"/>
    </xf>
    <xf numFmtId="167" fontId="37" fillId="10" borderId="39" xfId="0" applyNumberFormat="1" applyFont="1" applyFill="1" applyBorder="1"/>
    <xf numFmtId="167" fontId="37" fillId="10" borderId="33" xfId="0" applyNumberFormat="1" applyFont="1" applyFill="1" applyBorder="1"/>
    <xf numFmtId="167" fontId="37" fillId="10" borderId="24" xfId="0" applyNumberFormat="1" applyFont="1" applyFill="1" applyBorder="1"/>
    <xf numFmtId="20" fontId="0" fillId="11" borderId="32" xfId="0" applyNumberFormat="1" applyFill="1" applyBorder="1"/>
    <xf numFmtId="20" fontId="0" fillId="11" borderId="48" xfId="0" applyNumberFormat="1" applyFill="1" applyBorder="1"/>
    <xf numFmtId="167" fontId="10" fillId="3" borderId="19" xfId="0" applyNumberFormat="1" applyFont="1" applyFill="1" applyBorder="1" applyProtection="1"/>
    <xf numFmtId="167" fontId="10" fillId="4" borderId="19" xfId="0" applyNumberFormat="1" applyFont="1" applyFill="1" applyBorder="1" applyProtection="1"/>
    <xf numFmtId="167" fontId="10" fillId="2" borderId="19" xfId="0" applyNumberFormat="1" applyFont="1" applyFill="1" applyBorder="1" applyProtection="1"/>
    <xf numFmtId="167" fontId="10" fillId="6" borderId="19" xfId="0" applyNumberFormat="1" applyFont="1" applyFill="1" applyBorder="1" applyProtection="1"/>
    <xf numFmtId="167" fontId="10" fillId="7" borderId="19" xfId="0" applyNumberFormat="1" applyFont="1" applyFill="1" applyBorder="1" applyProtection="1"/>
    <xf numFmtId="167" fontId="10" fillId="8" borderId="19" xfId="0" applyNumberFormat="1" applyFont="1" applyFill="1" applyBorder="1" applyProtection="1"/>
    <xf numFmtId="2" fontId="0" fillId="5" borderId="0" xfId="0" quotePrefix="1" applyNumberFormat="1" applyFill="1"/>
    <xf numFmtId="2" fontId="5" fillId="5" borderId="0" xfId="0" quotePrefix="1" applyNumberFormat="1" applyFont="1" applyFill="1"/>
    <xf numFmtId="2" fontId="0" fillId="10" borderId="9" xfId="0" applyNumberFormat="1" applyFill="1" applyBorder="1" applyAlignment="1">
      <alignment horizontal="center"/>
    </xf>
    <xf numFmtId="2" fontId="0" fillId="10" borderId="14" xfId="0" applyNumberFormat="1" applyFill="1" applyBorder="1"/>
    <xf numFmtId="166" fontId="36" fillId="0" borderId="39" xfId="0" applyNumberFormat="1" applyFont="1" applyFill="1" applyBorder="1" applyAlignment="1">
      <alignment horizontal="center"/>
    </xf>
    <xf numFmtId="166" fontId="36" fillId="11" borderId="39" xfId="0" applyNumberFormat="1" applyFont="1" applyFill="1" applyBorder="1" applyAlignment="1">
      <alignment horizontal="center"/>
    </xf>
    <xf numFmtId="166" fontId="36" fillId="0" borderId="15" xfId="0" applyNumberFormat="1" applyFont="1" applyFill="1" applyBorder="1" applyAlignment="1">
      <alignment horizontal="center"/>
    </xf>
    <xf numFmtId="166" fontId="36" fillId="11" borderId="15" xfId="0" applyNumberFormat="1" applyFont="1" applyFill="1" applyBorder="1" applyAlignment="1">
      <alignment horizontal="center"/>
    </xf>
    <xf numFmtId="166" fontId="36" fillId="0" borderId="24" xfId="0" applyNumberFormat="1" applyFont="1" applyFill="1" applyBorder="1" applyAlignment="1">
      <alignment horizontal="center"/>
    </xf>
    <xf numFmtId="166" fontId="36" fillId="0" borderId="33" xfId="0" applyNumberFormat="1" applyFont="1" applyFill="1" applyBorder="1" applyAlignment="1">
      <alignment horizontal="center"/>
    </xf>
    <xf numFmtId="167" fontId="0" fillId="3" borderId="61" xfId="0" applyNumberFormat="1" applyFill="1" applyBorder="1" applyAlignment="1" applyProtection="1">
      <alignment horizontal="center"/>
    </xf>
    <xf numFmtId="167" fontId="0" fillId="3" borderId="62" xfId="0" applyNumberFormat="1" applyFill="1" applyBorder="1" applyAlignment="1" applyProtection="1">
      <alignment horizontal="center"/>
    </xf>
    <xf numFmtId="167" fontId="0" fillId="3" borderId="60" xfId="0" applyNumberFormat="1" applyFill="1" applyBorder="1" applyAlignment="1" applyProtection="1">
      <alignment horizontal="center"/>
    </xf>
    <xf numFmtId="167" fontId="8" fillId="3" borderId="18" xfId="0" applyNumberFormat="1" applyFont="1" applyFill="1" applyBorder="1" applyProtection="1"/>
    <xf numFmtId="2" fontId="8" fillId="3" borderId="31" xfId="0" applyNumberFormat="1" applyFont="1" applyFill="1" applyBorder="1" applyProtection="1"/>
    <xf numFmtId="0" fontId="38" fillId="0" borderId="0" xfId="0" applyFont="1"/>
    <xf numFmtId="0" fontId="0" fillId="0" borderId="0" xfId="0"/>
    <xf numFmtId="0" fontId="8" fillId="0" borderId="0" xfId="0" applyFont="1"/>
    <xf numFmtId="0" fontId="5" fillId="0" borderId="0" xfId="0" applyFont="1"/>
    <xf numFmtId="0" fontId="0" fillId="0" borderId="0" xfId="0" quotePrefix="1"/>
    <xf numFmtId="0" fontId="29" fillId="0" borderId="0" xfId="0" applyFont="1"/>
    <xf numFmtId="0" fontId="0" fillId="0" borderId="0" xfId="0" applyNumberFormat="1"/>
    <xf numFmtId="0" fontId="0" fillId="0" borderId="0" xfId="0" applyAlignment="1">
      <alignment horizontal="left"/>
    </xf>
    <xf numFmtId="0" fontId="5" fillId="0" borderId="0" xfId="0" quotePrefix="1" applyFont="1"/>
    <xf numFmtId="2" fontId="8" fillId="0" borderId="0" xfId="0" applyNumberFormat="1" applyFont="1" applyBorder="1"/>
    <xf numFmtId="2" fontId="6" fillId="0" borderId="4" xfId="0" applyNumberFormat="1" applyFont="1" applyBorder="1"/>
    <xf numFmtId="2" fontId="6" fillId="0" borderId="6" xfId="0" applyNumberFormat="1" applyFont="1" applyBorder="1"/>
    <xf numFmtId="0" fontId="6" fillId="0" borderId="7" xfId="0" applyFont="1" applyBorder="1" applyAlignment="1">
      <alignment horizontal="center"/>
    </xf>
    <xf numFmtId="167" fontId="0" fillId="0" borderId="0" xfId="0" quotePrefix="1" applyNumberFormat="1" applyProtection="1"/>
    <xf numFmtId="0" fontId="5" fillId="0" borderId="0" xfId="0" quotePrefix="1" applyFont="1" applyProtection="1"/>
    <xf numFmtId="49" fontId="5" fillId="2" borderId="0" xfId="0" applyNumberFormat="1" applyFont="1" applyFill="1" applyAlignment="1">
      <alignment horizontal="right"/>
    </xf>
    <xf numFmtId="14" fontId="0" fillId="0" borderId="4" xfId="0" applyNumberFormat="1" applyBorder="1"/>
    <xf numFmtId="16" fontId="0" fillId="0" borderId="0" xfId="0" quotePrefix="1" applyNumberFormat="1" applyBorder="1"/>
    <xf numFmtId="16" fontId="0" fillId="0" borderId="0" xfId="0" applyNumberFormat="1" applyBorder="1"/>
    <xf numFmtId="0" fontId="4" fillId="0" borderId="0" xfId="2"/>
    <xf numFmtId="0" fontId="39" fillId="14" borderId="36" xfId="2" applyFont="1" applyFill="1" applyBorder="1" applyAlignment="1">
      <alignment horizontal="center" vertical="center" wrapText="1"/>
    </xf>
    <xf numFmtId="0" fontId="39" fillId="14" borderId="35" xfId="2" applyFont="1" applyFill="1" applyBorder="1" applyAlignment="1">
      <alignment horizontal="center" vertical="center" wrapText="1"/>
    </xf>
    <xf numFmtId="0" fontId="44" fillId="0" borderId="27" xfId="2" applyFont="1" applyBorder="1" applyAlignment="1">
      <alignment vertical="center"/>
    </xf>
    <xf numFmtId="0" fontId="4" fillId="0" borderId="28" xfId="2" applyBorder="1"/>
    <xf numFmtId="0" fontId="4" fillId="0" borderId="0" xfId="2" applyBorder="1" applyAlignment="1">
      <alignment horizontal="center" vertical="center" wrapText="1"/>
    </xf>
    <xf numFmtId="166" fontId="0" fillId="0" borderId="0" xfId="0" applyNumberFormat="1"/>
    <xf numFmtId="168" fontId="4" fillId="0" borderId="0" xfId="2" applyNumberFormat="1"/>
    <xf numFmtId="167" fontId="5" fillId="0" borderId="0" xfId="0" applyNumberFormat="1" applyFont="1" applyFill="1" applyBorder="1" applyAlignment="1">
      <alignment horizontal="center"/>
    </xf>
    <xf numFmtId="0" fontId="3" fillId="0" borderId="0" xfId="2" applyFont="1" applyAlignment="1">
      <alignment horizontal="right"/>
    </xf>
    <xf numFmtId="0" fontId="41" fillId="0" borderId="27" xfId="2" applyFont="1" applyBorder="1" applyAlignment="1">
      <alignment vertical="center" wrapText="1"/>
    </xf>
    <xf numFmtId="0" fontId="4" fillId="0" borderId="28" xfId="2" applyBorder="1" applyAlignment="1">
      <alignment vertical="center" wrapText="1"/>
    </xf>
    <xf numFmtId="0" fontId="41" fillId="0" borderId="28" xfId="2" applyFont="1" applyBorder="1" applyAlignment="1">
      <alignment vertical="center" wrapText="1"/>
    </xf>
    <xf numFmtId="0" fontId="4" fillId="0" borderId="0" xfId="2" applyBorder="1" applyAlignment="1">
      <alignment vertical="center" wrapText="1"/>
    </xf>
    <xf numFmtId="0" fontId="41" fillId="0" borderId="0" xfId="2" applyFont="1" applyBorder="1" applyAlignment="1">
      <alignment vertical="center" wrapText="1"/>
    </xf>
    <xf numFmtId="0" fontId="41" fillId="0" borderId="63" xfId="2" applyFont="1" applyBorder="1" applyAlignment="1">
      <alignment vertical="center" wrapText="1"/>
    </xf>
    <xf numFmtId="0" fontId="43" fillId="13" borderId="65" xfId="2" applyFont="1" applyFill="1" applyBorder="1" applyAlignment="1">
      <alignment horizontal="right" vertical="center" wrapText="1"/>
    </xf>
    <xf numFmtId="168" fontId="4" fillId="0" borderId="65" xfId="2" applyNumberFormat="1" applyBorder="1"/>
    <xf numFmtId="0" fontId="39" fillId="14" borderId="65" xfId="2" applyFont="1" applyFill="1" applyBorder="1" applyAlignment="1">
      <alignment horizontal="center" vertical="center" wrapText="1"/>
    </xf>
    <xf numFmtId="166" fontId="0" fillId="0" borderId="65" xfId="0" applyNumberFormat="1" applyBorder="1"/>
    <xf numFmtId="167" fontId="5" fillId="0" borderId="65" xfId="0" applyNumberFormat="1" applyFont="1" applyFill="1" applyBorder="1" applyAlignment="1">
      <alignment horizontal="center"/>
    </xf>
    <xf numFmtId="0" fontId="42" fillId="13" borderId="65" xfId="2" applyFont="1" applyFill="1" applyBorder="1" applyAlignment="1">
      <alignment horizontal="center" vertical="center" wrapText="1"/>
    </xf>
    <xf numFmtId="167" fontId="5" fillId="16" borderId="28" xfId="0" applyNumberFormat="1" applyFont="1" applyFill="1" applyBorder="1" applyAlignment="1">
      <alignment horizontal="center"/>
    </xf>
    <xf numFmtId="0" fontId="4" fillId="16" borderId="0" xfId="2" applyFill="1"/>
    <xf numFmtId="0" fontId="2" fillId="0" borderId="0" xfId="2" applyFont="1"/>
    <xf numFmtId="0" fontId="4" fillId="16" borderId="65" xfId="2" applyFill="1" applyBorder="1"/>
    <xf numFmtId="0" fontId="1" fillId="0" borderId="0" xfId="2" applyFont="1"/>
    <xf numFmtId="0" fontId="1" fillId="0" borderId="0" xfId="2" applyFont="1" applyAlignment="1">
      <alignment horizontal="left" vertical="center"/>
    </xf>
    <xf numFmtId="0" fontId="47" fillId="0" borderId="0" xfId="0" applyFont="1" applyAlignment="1">
      <alignment vertical="center"/>
    </xf>
    <xf numFmtId="0" fontId="47" fillId="0" borderId="0" xfId="0" quotePrefix="1" applyFont="1" applyAlignment="1">
      <alignment horizontal="left" vertical="center" indent="2"/>
    </xf>
    <xf numFmtId="0" fontId="5" fillId="0" borderId="0" xfId="0" quotePrefix="1" applyFont="1" applyAlignment="1">
      <alignment horizontal="left"/>
    </xf>
    <xf numFmtId="0" fontId="0" fillId="0" borderId="0" xfId="0" applyAlignment="1">
      <alignment horizontal="left"/>
    </xf>
    <xf numFmtId="0" fontId="41" fillId="0" borderId="16" xfId="2" applyFont="1" applyBorder="1" applyAlignment="1">
      <alignment vertical="center" wrapText="1"/>
    </xf>
    <xf numFmtId="0" fontId="4" fillId="0" borderId="17" xfId="2" applyBorder="1" applyAlignment="1">
      <alignment vertical="center" wrapText="1"/>
    </xf>
    <xf numFmtId="0" fontId="41" fillId="16" borderId="17" xfId="2" applyFont="1" applyFill="1" applyBorder="1" applyAlignment="1">
      <alignment vertical="center" wrapText="1"/>
    </xf>
    <xf numFmtId="0" fontId="4" fillId="16" borderId="17" xfId="2" applyFill="1" applyBorder="1" applyAlignment="1">
      <alignment vertical="center" wrapText="1"/>
    </xf>
    <xf numFmtId="0" fontId="4" fillId="16" borderId="19" xfId="2" applyFill="1" applyBorder="1" applyAlignment="1">
      <alignment vertical="center" wrapText="1"/>
    </xf>
    <xf numFmtId="49" fontId="41" fillId="0" borderId="17" xfId="2" applyNumberFormat="1" applyFont="1" applyBorder="1" applyAlignment="1">
      <alignment vertical="center" wrapText="1"/>
    </xf>
    <xf numFmtId="0" fontId="4" fillId="0" borderId="19" xfId="2" applyBorder="1" applyAlignment="1">
      <alignment vertical="center" wrapText="1"/>
    </xf>
    <xf numFmtId="0" fontId="42" fillId="13" borderId="34" xfId="2" applyFont="1" applyFill="1" applyBorder="1" applyAlignment="1">
      <alignment horizontal="center" vertical="center" wrapText="1"/>
    </xf>
    <xf numFmtId="0" fontId="42" fillId="13" borderId="36" xfId="2" applyFont="1" applyFill="1" applyBorder="1" applyAlignment="1">
      <alignment horizontal="center" vertical="center" wrapText="1"/>
    </xf>
    <xf numFmtId="0" fontId="43" fillId="13" borderId="34" xfId="2" applyFont="1" applyFill="1" applyBorder="1" applyAlignment="1">
      <alignment horizontal="center" vertical="center" wrapText="1"/>
    </xf>
    <xf numFmtId="0" fontId="43" fillId="13" borderId="36" xfId="2" applyFont="1" applyFill="1" applyBorder="1" applyAlignment="1">
      <alignment horizontal="center" vertical="center" wrapText="1"/>
    </xf>
    <xf numFmtId="0" fontId="40" fillId="12" borderId="27" xfId="2" applyFont="1" applyFill="1" applyBorder="1" applyAlignment="1">
      <alignment horizontal="center" vertical="center" wrapText="1"/>
    </xf>
    <xf numFmtId="0" fontId="40" fillId="12" borderId="28" xfId="2" applyFont="1" applyFill="1" applyBorder="1" applyAlignment="1">
      <alignment horizontal="center" vertical="center" wrapText="1"/>
    </xf>
    <xf numFmtId="0" fontId="40" fillId="12" borderId="18" xfId="2" applyFont="1" applyFill="1" applyBorder="1" applyAlignment="1">
      <alignment horizontal="center" vertical="center" wrapText="1"/>
    </xf>
    <xf numFmtId="0" fontId="40" fillId="12" borderId="63" xfId="2" applyFont="1" applyFill="1" applyBorder="1" applyAlignment="1">
      <alignment horizontal="center" vertical="center" wrapText="1"/>
    </xf>
    <xf numFmtId="0" fontId="40" fillId="12" borderId="0" xfId="2" applyFont="1" applyFill="1" applyBorder="1" applyAlignment="1">
      <alignment horizontal="center" vertical="center" wrapText="1"/>
    </xf>
    <xf numFmtId="0" fontId="40" fillId="12" borderId="64" xfId="2" applyFont="1" applyFill="1" applyBorder="1" applyAlignment="1">
      <alignment horizontal="center" vertical="center" wrapText="1"/>
    </xf>
    <xf numFmtId="0" fontId="40" fillId="12" borderId="29" xfId="2" applyFont="1" applyFill="1" applyBorder="1" applyAlignment="1">
      <alignment horizontal="center" vertical="center" wrapText="1"/>
    </xf>
    <xf numFmtId="0" fontId="40" fillId="12" borderId="30" xfId="2" applyFont="1" applyFill="1" applyBorder="1" applyAlignment="1">
      <alignment horizontal="center" vertical="center" wrapText="1"/>
    </xf>
    <xf numFmtId="0" fontId="40" fillId="12" borderId="31" xfId="2" applyFont="1" applyFill="1" applyBorder="1" applyAlignment="1">
      <alignment horizontal="center" vertical="center" wrapText="1"/>
    </xf>
    <xf numFmtId="169" fontId="41" fillId="16" borderId="17" xfId="2" applyNumberFormat="1" applyFont="1" applyFill="1" applyBorder="1" applyAlignment="1">
      <alignment vertical="center" wrapText="1"/>
    </xf>
    <xf numFmtId="169" fontId="4" fillId="16" borderId="17" xfId="2" applyNumberFormat="1" applyFill="1" applyBorder="1" applyAlignment="1">
      <alignment vertical="center" wrapText="1"/>
    </xf>
    <xf numFmtId="169" fontId="4" fillId="16" borderId="19" xfId="2" applyNumberFormat="1" applyFill="1" applyBorder="1" applyAlignment="1">
      <alignment vertical="center" wrapText="1"/>
    </xf>
    <xf numFmtId="0" fontId="41" fillId="0" borderId="17" xfId="2" applyFont="1" applyBorder="1" applyAlignment="1">
      <alignment vertical="center" wrapText="1"/>
    </xf>
    <xf numFmtId="0" fontId="41" fillId="0" borderId="19" xfId="2" applyFont="1" applyBorder="1" applyAlignment="1">
      <alignment vertical="center" wrapText="1"/>
    </xf>
    <xf numFmtId="0" fontId="42" fillId="13" borderId="27" xfId="2" applyFont="1" applyFill="1" applyBorder="1" applyAlignment="1">
      <alignment horizontal="center" vertical="center" wrapText="1"/>
    </xf>
    <xf numFmtId="0" fontId="42" fillId="13" borderId="18" xfId="2" applyFont="1" applyFill="1" applyBorder="1" applyAlignment="1">
      <alignment horizontal="center" vertical="center" wrapText="1"/>
    </xf>
    <xf numFmtId="0" fontId="42" fillId="13" borderId="63" xfId="2" applyFont="1" applyFill="1" applyBorder="1" applyAlignment="1">
      <alignment horizontal="center" vertical="center" wrapText="1"/>
    </xf>
    <xf numFmtId="0" fontId="42" fillId="13" borderId="64" xfId="2" applyFont="1" applyFill="1" applyBorder="1" applyAlignment="1">
      <alignment horizontal="center" vertical="center" wrapText="1"/>
    </xf>
    <xf numFmtId="0" fontId="42" fillId="13" borderId="29" xfId="2" applyFont="1" applyFill="1" applyBorder="1" applyAlignment="1">
      <alignment horizontal="center" vertical="center" wrapText="1"/>
    </xf>
    <xf numFmtId="0" fontId="42" fillId="13" borderId="31" xfId="2" applyFont="1" applyFill="1" applyBorder="1" applyAlignment="1">
      <alignment horizontal="center" vertical="center" wrapText="1"/>
    </xf>
    <xf numFmtId="0" fontId="45" fillId="0" borderId="63" xfId="2" applyFont="1" applyBorder="1" applyAlignment="1">
      <alignment horizontal="left" vertical="center" wrapText="1"/>
    </xf>
    <xf numFmtId="0" fontId="45" fillId="0" borderId="0" xfId="2" applyFont="1" applyBorder="1" applyAlignment="1">
      <alignment horizontal="left" vertical="center" wrapText="1"/>
    </xf>
    <xf numFmtId="0" fontId="39" fillId="15" borderId="27" xfId="2" applyFont="1" applyFill="1" applyBorder="1" applyAlignment="1">
      <alignment horizontal="center" vertical="center" wrapText="1"/>
    </xf>
    <xf numFmtId="0" fontId="39" fillId="15" borderId="18" xfId="2" applyFont="1" applyFill="1" applyBorder="1" applyAlignment="1">
      <alignment horizontal="center" vertical="center" wrapText="1"/>
    </xf>
    <xf numFmtId="0" fontId="39" fillId="15" borderId="63" xfId="2" applyFont="1" applyFill="1" applyBorder="1" applyAlignment="1">
      <alignment horizontal="center" vertical="center" wrapText="1"/>
    </xf>
    <xf numFmtId="0" fontId="39" fillId="15" borderId="64" xfId="2" applyFont="1" applyFill="1" applyBorder="1" applyAlignment="1">
      <alignment horizontal="center" vertical="center" wrapText="1"/>
    </xf>
    <xf numFmtId="0" fontId="39" fillId="15" borderId="29" xfId="2" applyFont="1" applyFill="1" applyBorder="1" applyAlignment="1">
      <alignment horizontal="center" vertical="center" wrapText="1"/>
    </xf>
    <xf numFmtId="0" fontId="39" fillId="15" borderId="31" xfId="2" applyFont="1" applyFill="1" applyBorder="1" applyAlignment="1">
      <alignment horizontal="center" vertical="center" wrapText="1"/>
    </xf>
    <xf numFmtId="0" fontId="45" fillId="0" borderId="63" xfId="2" applyFont="1" applyBorder="1" applyAlignment="1">
      <alignment horizontal="left" vertical="top" wrapText="1"/>
    </xf>
    <xf numFmtId="0" fontId="45" fillId="0" borderId="0" xfId="2" applyFont="1" applyBorder="1" applyAlignment="1">
      <alignment horizontal="left" vertical="top" wrapText="1"/>
    </xf>
    <xf numFmtId="0" fontId="45" fillId="0" borderId="64" xfId="2" applyFont="1" applyBorder="1" applyAlignment="1">
      <alignment horizontal="left" vertical="top" wrapText="1"/>
    </xf>
    <xf numFmtId="0" fontId="45" fillId="0" borderId="29" xfId="2" applyFont="1" applyBorder="1" applyAlignment="1">
      <alignment horizontal="left" vertical="top" wrapText="1"/>
    </xf>
    <xf numFmtId="0" fontId="45" fillId="0" borderId="30" xfId="2" applyFont="1" applyBorder="1" applyAlignment="1">
      <alignment horizontal="left" vertical="top" wrapText="1"/>
    </xf>
    <xf numFmtId="0" fontId="45" fillId="0" borderId="31" xfId="2" applyFont="1" applyBorder="1" applyAlignment="1">
      <alignment horizontal="left" vertical="top" wrapText="1"/>
    </xf>
    <xf numFmtId="169" fontId="41" fillId="0" borderId="17" xfId="2" applyNumberFormat="1" applyFont="1" applyBorder="1" applyAlignment="1">
      <alignment vertical="center" wrapText="1"/>
    </xf>
    <xf numFmtId="169" fontId="4" fillId="0" borderId="17" xfId="2" applyNumberFormat="1" applyBorder="1" applyAlignment="1">
      <alignment vertical="center" wrapText="1"/>
    </xf>
    <xf numFmtId="169" fontId="4" fillId="0" borderId="19" xfId="2" applyNumberFormat="1" applyBorder="1" applyAlignment="1">
      <alignment vertical="center" wrapText="1"/>
    </xf>
    <xf numFmtId="0" fontId="24" fillId="8" borderId="16" xfId="0" applyFont="1" applyFill="1" applyBorder="1" applyAlignment="1" applyProtection="1">
      <alignment horizontal="center"/>
    </xf>
    <xf numFmtId="0" fontId="24" fillId="8" borderId="19" xfId="0" applyFont="1" applyFill="1" applyBorder="1" applyAlignment="1" applyProtection="1">
      <alignment horizontal="center"/>
    </xf>
    <xf numFmtId="0" fontId="25" fillId="0" borderId="16" xfId="0" applyFont="1" applyFill="1" applyBorder="1" applyAlignment="1" applyProtection="1">
      <alignment horizontal="center"/>
    </xf>
    <xf numFmtId="0" fontId="0" fillId="0" borderId="17" xfId="0" applyFill="1" applyBorder="1" applyAlignment="1" applyProtection="1">
      <alignment horizontal="center"/>
    </xf>
    <xf numFmtId="0" fontId="0" fillId="0" borderId="19" xfId="0" applyFill="1" applyBorder="1" applyAlignment="1" applyProtection="1">
      <alignment horizontal="center"/>
    </xf>
    <xf numFmtId="0" fontId="24" fillId="7" borderId="16" xfId="0" applyFont="1" applyFill="1" applyBorder="1" applyAlignment="1" applyProtection="1">
      <alignment horizontal="center"/>
    </xf>
    <xf numFmtId="0" fontId="24" fillId="7" borderId="17" xfId="0" applyFont="1" applyFill="1" applyBorder="1" applyAlignment="1" applyProtection="1">
      <alignment horizontal="center"/>
    </xf>
    <xf numFmtId="0" fontId="24" fillId="7" borderId="19" xfId="0" applyFont="1" applyFill="1" applyBorder="1" applyAlignment="1" applyProtection="1">
      <alignment horizontal="center"/>
    </xf>
    <xf numFmtId="0" fontId="24" fillId="4" borderId="16" xfId="0" applyFont="1" applyFill="1" applyBorder="1" applyAlignment="1" applyProtection="1">
      <alignment horizontal="center"/>
    </xf>
    <xf numFmtId="0" fontId="24" fillId="4" borderId="17" xfId="0" applyFont="1" applyFill="1" applyBorder="1" applyAlignment="1" applyProtection="1">
      <alignment horizontal="center"/>
    </xf>
    <xf numFmtId="0" fontId="24" fillId="4" borderId="19" xfId="0" applyFont="1" applyFill="1" applyBorder="1" applyAlignment="1" applyProtection="1">
      <alignment horizontal="center"/>
    </xf>
    <xf numFmtId="0" fontId="24" fillId="2" borderId="16" xfId="0" applyFont="1" applyFill="1" applyBorder="1" applyAlignment="1" applyProtection="1">
      <alignment horizontal="center"/>
    </xf>
    <xf numFmtId="0" fontId="24" fillId="2" borderId="17" xfId="0" applyFont="1" applyFill="1" applyBorder="1" applyAlignment="1" applyProtection="1">
      <alignment horizontal="center"/>
    </xf>
    <xf numFmtId="0" fontId="24" fillId="2" borderId="19" xfId="0" applyFont="1" applyFill="1" applyBorder="1" applyAlignment="1" applyProtection="1">
      <alignment horizontal="center"/>
    </xf>
    <xf numFmtId="0" fontId="8" fillId="0" borderId="40" xfId="0" applyFont="1" applyFill="1" applyBorder="1" applyAlignment="1">
      <alignment horizontal="center"/>
    </xf>
    <xf numFmtId="0" fontId="8" fillId="0" borderId="12" xfId="0" applyFont="1" applyFill="1" applyBorder="1" applyAlignment="1">
      <alignment horizontal="center"/>
    </xf>
    <xf numFmtId="0" fontId="8" fillId="0" borderId="11" xfId="0" applyFont="1" applyFill="1" applyBorder="1" applyAlignment="1">
      <alignment horizontal="center"/>
    </xf>
    <xf numFmtId="0" fontId="8" fillId="0" borderId="41" xfId="0" applyFont="1" applyFill="1" applyBorder="1" applyAlignment="1">
      <alignment horizontal="center"/>
    </xf>
    <xf numFmtId="0" fontId="8" fillId="0" borderId="42" xfId="0" applyFont="1" applyFill="1" applyBorder="1" applyAlignment="1">
      <alignment horizontal="center"/>
    </xf>
    <xf numFmtId="0" fontId="8" fillId="0" borderId="22" xfId="0" applyFont="1" applyFill="1" applyBorder="1" applyAlignment="1">
      <alignment horizontal="center"/>
    </xf>
    <xf numFmtId="167" fontId="5" fillId="0" borderId="10" xfId="0" applyNumberFormat="1" applyFont="1" applyFill="1" applyBorder="1" applyAlignment="1">
      <alignment horizontal="center"/>
    </xf>
    <xf numFmtId="167" fontId="5" fillId="0" borderId="12" xfId="0" applyNumberFormat="1" applyFont="1" applyFill="1" applyBorder="1" applyAlignment="1">
      <alignment horizontal="center"/>
    </xf>
    <xf numFmtId="167" fontId="5" fillId="0" borderId="43" xfId="0" applyNumberFormat="1" applyFont="1" applyFill="1" applyBorder="1" applyAlignment="1">
      <alignment horizontal="center"/>
    </xf>
    <xf numFmtId="167" fontId="5" fillId="0" borderId="44" xfId="0" applyNumberFormat="1" applyFont="1" applyFill="1" applyBorder="1" applyAlignment="1">
      <alignment horizontal="center"/>
    </xf>
    <xf numFmtId="167" fontId="5" fillId="0" borderId="42" xfId="0" applyNumberFormat="1" applyFont="1" applyFill="1" applyBorder="1" applyAlignment="1">
      <alignment horizontal="center"/>
    </xf>
    <xf numFmtId="167" fontId="5" fillId="0" borderId="45" xfId="0" applyNumberFormat="1" applyFont="1" applyFill="1" applyBorder="1" applyAlignment="1">
      <alignment horizontal="center"/>
    </xf>
    <xf numFmtId="0" fontId="30" fillId="5" borderId="0" xfId="0" applyFont="1" applyFill="1" applyAlignment="1">
      <alignment horizontal="center"/>
    </xf>
    <xf numFmtId="0" fontId="6" fillId="0" borderId="6" xfId="0" applyFont="1" applyBorder="1" applyAlignment="1">
      <alignment horizontal="left"/>
    </xf>
    <xf numFmtId="0" fontId="6" fillId="0" borderId="7" xfId="0" applyFont="1" applyBorder="1" applyAlignment="1">
      <alignment horizontal="left"/>
    </xf>
    <xf numFmtId="0" fontId="8" fillId="0" borderId="56" xfId="0" applyFont="1" applyFill="1" applyBorder="1" applyAlignment="1">
      <alignment horizontal="center"/>
    </xf>
    <xf numFmtId="0" fontId="8" fillId="0" borderId="19" xfId="0" applyFont="1" applyFill="1" applyBorder="1" applyAlignment="1">
      <alignment horizontal="center"/>
    </xf>
    <xf numFmtId="0" fontId="8" fillId="0" borderId="55" xfId="0" applyFont="1" applyFill="1" applyBorder="1" applyAlignment="1">
      <alignment horizontal="center"/>
    </xf>
    <xf numFmtId="0" fontId="8" fillId="0" borderId="37" xfId="0" applyFont="1" applyFill="1" applyBorder="1" applyAlignment="1">
      <alignment horizontal="center"/>
    </xf>
    <xf numFmtId="0" fontId="8" fillId="0" borderId="52" xfId="0" applyFont="1" applyFill="1" applyBorder="1" applyAlignment="1">
      <alignment horizontal="center"/>
    </xf>
    <xf numFmtId="0" fontId="8" fillId="0" borderId="38" xfId="0" applyFont="1" applyFill="1" applyBorder="1" applyAlignment="1">
      <alignment horizontal="center"/>
    </xf>
    <xf numFmtId="167" fontId="5" fillId="0" borderId="11" xfId="0" applyNumberFormat="1" applyFont="1" applyFill="1" applyBorder="1" applyAlignment="1">
      <alignment horizontal="center"/>
    </xf>
    <xf numFmtId="167" fontId="5" fillId="0" borderId="53" xfId="0" applyNumberFormat="1" applyFont="1" applyFill="1" applyBorder="1" applyAlignment="1">
      <alignment horizontal="center"/>
    </xf>
    <xf numFmtId="167" fontId="5" fillId="0" borderId="54" xfId="0" applyNumberFormat="1" applyFont="1" applyFill="1" applyBorder="1" applyAlignment="1">
      <alignment horizontal="center"/>
    </xf>
    <xf numFmtId="0" fontId="8" fillId="0" borderId="4" xfId="0" applyFont="1" applyBorder="1" applyAlignment="1">
      <alignment horizontal="center"/>
    </xf>
    <xf numFmtId="0" fontId="9" fillId="0" borderId="5" xfId="0" applyFont="1" applyBorder="1" applyAlignment="1">
      <alignment horizontal="center"/>
    </xf>
    <xf numFmtId="0" fontId="8" fillId="0" borderId="4" xfId="0" applyFont="1" applyFill="1" applyBorder="1" applyAlignment="1">
      <alignment horizontal="center"/>
    </xf>
    <xf numFmtId="0" fontId="8" fillId="0" borderId="5" xfId="0" applyFont="1" applyFill="1" applyBorder="1" applyAlignment="1">
      <alignment horizontal="center"/>
    </xf>
    <xf numFmtId="0" fontId="6" fillId="0" borderId="1" xfId="0" applyFont="1" applyBorder="1" applyAlignment="1">
      <alignment horizontal="center"/>
    </xf>
    <xf numFmtId="0" fontId="6" fillId="0" borderId="2" xfId="0" applyFont="1" applyBorder="1" applyAlignment="1">
      <alignment horizontal="center"/>
    </xf>
    <xf numFmtId="0" fontId="8" fillId="10" borderId="16" xfId="0" applyFont="1" applyFill="1" applyBorder="1" applyAlignment="1">
      <alignment horizontal="center"/>
    </xf>
    <xf numFmtId="0" fontId="8" fillId="10" borderId="17" xfId="0" applyFont="1" applyFill="1" applyBorder="1" applyAlignment="1">
      <alignment horizontal="center"/>
    </xf>
    <xf numFmtId="0" fontId="8" fillId="10" borderId="55" xfId="0" applyFont="1" applyFill="1" applyBorder="1" applyAlignment="1">
      <alignment horizontal="center"/>
    </xf>
    <xf numFmtId="167" fontId="5" fillId="0" borderId="38" xfId="0" applyNumberFormat="1" applyFont="1" applyFill="1" applyBorder="1" applyAlignment="1">
      <alignment horizontal="center"/>
    </xf>
    <xf numFmtId="167" fontId="5" fillId="0" borderId="22" xfId="0" applyNumberFormat="1" applyFont="1" applyFill="1" applyBorder="1" applyAlignment="1">
      <alignment horizontal="center"/>
    </xf>
  </cellXfs>
  <cellStyles count="3">
    <cellStyle name="Normal" xfId="0" builtinId="0"/>
    <cellStyle name="Normal 2" xfId="1"/>
    <cellStyle name="Normal 3" xfId="2"/>
  </cellStyles>
  <dxfs count="316">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6" tint="0.79998168889431442"/>
      </font>
    </dxf>
    <dxf>
      <font>
        <color theme="6" tint="0.79998168889431442"/>
      </font>
    </dxf>
    <dxf>
      <font>
        <color auto="1"/>
      </font>
      <fill>
        <patternFill>
          <bgColor theme="9" tint="0.39994506668294322"/>
        </patternFill>
      </fill>
    </dxf>
    <dxf>
      <font>
        <color auto="1"/>
      </font>
      <fill>
        <patternFill>
          <bgColor theme="9" tint="0.39994506668294322"/>
        </patternFill>
      </fill>
    </dxf>
    <dxf>
      <font>
        <color theme="2"/>
      </font>
      <fill>
        <patternFill>
          <bgColor rgb="FFFF0000"/>
        </patternFill>
      </fill>
    </dxf>
    <dxf>
      <font>
        <color theme="4" tint="0.79998168889431442"/>
      </font>
    </dxf>
    <dxf>
      <font>
        <color rgb="FFFFFF99"/>
      </font>
    </dxf>
    <dxf>
      <fill>
        <patternFill>
          <bgColor indexed="34"/>
        </patternFill>
      </fill>
    </dxf>
    <dxf>
      <font>
        <color theme="0"/>
      </font>
    </dxf>
    <dxf>
      <fill>
        <patternFill>
          <bgColor indexed="13"/>
        </patternFill>
      </fill>
    </dxf>
    <dxf>
      <fill>
        <patternFill>
          <bgColor indexed="41"/>
        </patternFill>
      </fill>
    </dxf>
    <dxf>
      <font>
        <condense val="0"/>
        <extend val="0"/>
        <color auto="1"/>
      </font>
      <fill>
        <patternFill>
          <bgColor indexed="41"/>
        </patternFill>
      </fill>
    </dxf>
    <dxf>
      <fill>
        <patternFill>
          <bgColor indexed="41"/>
        </patternFill>
      </fill>
    </dxf>
    <dxf>
      <fill>
        <patternFill>
          <bgColor indexed="41"/>
        </patternFill>
      </fill>
    </dxf>
    <dxf>
      <fill>
        <patternFill>
          <bgColor theme="6" tint="0.39994506668294322"/>
        </patternFill>
      </fill>
    </dxf>
    <dxf>
      <fill>
        <patternFill>
          <bgColor rgb="FFFF0000"/>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9525</xdr:colOff>
      <xdr:row>11</xdr:row>
      <xdr:rowOff>9525</xdr:rowOff>
    </xdr:from>
    <xdr:to>
      <xdr:col>6</xdr:col>
      <xdr:colOff>314325</xdr:colOff>
      <xdr:row>19</xdr:row>
      <xdr:rowOff>38100</xdr:rowOff>
    </xdr:to>
    <xdr:pic>
      <xdr:nvPicPr>
        <xdr:cNvPr id="2" name="Picture 6" descr="image001">
          <a:extLst>
            <a:ext uri="{FF2B5EF4-FFF2-40B4-BE49-F238E27FC236}">
              <a16:creationId xmlns:a16="http://schemas.microsoft.com/office/drawing/2014/main" xmlns=""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25" y="2105025"/>
          <a:ext cx="3352800" cy="1323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399011</xdr:colOff>
          <xdr:row>6</xdr:row>
          <xdr:rowOff>24938</xdr:rowOff>
        </xdr:from>
        <xdr:to>
          <xdr:col>9</xdr:col>
          <xdr:colOff>216131</xdr:colOff>
          <xdr:row>15</xdr:row>
          <xdr:rowOff>0</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xmlns="" id="{00000000-0008-0000-0300-000001E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600" b="1" i="0" u="none" strike="noStrike" baseline="0">
                  <a:solidFill>
                    <a:srgbClr val="000000"/>
                  </a:solidFill>
                  <a:latin typeface="Arial"/>
                  <a:cs typeface="Arial"/>
                </a:rPr>
                <a:t>Recalculate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2.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4.v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5.v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6.v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7.v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8.v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H89"/>
  <sheetViews>
    <sheetView workbookViewId="0">
      <selection activeCell="A4" sqref="A4"/>
    </sheetView>
  </sheetViews>
  <sheetFormatPr defaultRowHeight="12.45" x14ac:dyDescent="0.2"/>
  <cols>
    <col min="1" max="1" width="26" customWidth="1"/>
    <col min="2" max="2" width="84.25" customWidth="1"/>
    <col min="3" max="3" width="6.125" customWidth="1"/>
  </cols>
  <sheetData>
    <row r="1" spans="1:8" s="360" customFormat="1" ht="12.8" x14ac:dyDescent="0.2">
      <c r="A1" s="359" t="s">
        <v>173</v>
      </c>
    </row>
    <row r="2" spans="1:8" ht="13.1" x14ac:dyDescent="0.25">
      <c r="A2" s="364" t="s">
        <v>179</v>
      </c>
    </row>
    <row r="3" spans="1:8" ht="13.1" x14ac:dyDescent="0.25">
      <c r="A3" s="7"/>
    </row>
    <row r="4" spans="1:8" ht="13.1" x14ac:dyDescent="0.25">
      <c r="A4" s="374" t="s">
        <v>219</v>
      </c>
      <c r="B4" s="2" t="s">
        <v>40</v>
      </c>
      <c r="C4" s="2"/>
    </row>
    <row r="5" spans="1:8" ht="13.1" x14ac:dyDescent="0.25">
      <c r="A5" s="206">
        <v>0</v>
      </c>
      <c r="B5" s="361" t="s">
        <v>169</v>
      </c>
      <c r="C5" s="2"/>
      <c r="H5" s="360" t="s">
        <v>189</v>
      </c>
    </row>
    <row r="6" spans="1:8" ht="13.1" x14ac:dyDescent="0.25">
      <c r="A6" s="206">
        <v>0</v>
      </c>
      <c r="B6" s="2" t="s">
        <v>37</v>
      </c>
      <c r="C6" s="2"/>
      <c r="H6" t="s">
        <v>190</v>
      </c>
    </row>
    <row r="7" spans="1:8" ht="13.1" x14ac:dyDescent="0.25">
      <c r="A7" s="206">
        <v>0</v>
      </c>
      <c r="B7" s="361" t="s">
        <v>170</v>
      </c>
      <c r="C7" s="230">
        <v>1</v>
      </c>
      <c r="D7" s="360" t="s">
        <v>188</v>
      </c>
      <c r="G7" s="360"/>
      <c r="H7" s="206">
        <v>0.33333333333333331</v>
      </c>
    </row>
    <row r="8" spans="1:8" ht="13.1" x14ac:dyDescent="0.25">
      <c r="A8" s="206">
        <v>0</v>
      </c>
      <c r="B8" s="2" t="s">
        <v>38</v>
      </c>
      <c r="C8" s="2"/>
      <c r="H8" s="206">
        <v>0.33333333333333331</v>
      </c>
    </row>
    <row r="9" spans="1:8" ht="13.1" x14ac:dyDescent="0.25">
      <c r="A9" s="206">
        <v>0</v>
      </c>
      <c r="B9" s="2" t="s">
        <v>54</v>
      </c>
      <c r="C9" s="2"/>
      <c r="H9" s="206">
        <f>+H7-H8</f>
        <v>0</v>
      </c>
    </row>
    <row r="10" spans="1:8" ht="13.1" x14ac:dyDescent="0.25">
      <c r="A10" s="206">
        <v>0</v>
      </c>
      <c r="B10" s="2" t="s">
        <v>71</v>
      </c>
      <c r="C10" s="2"/>
    </row>
    <row r="11" spans="1:8" ht="13.1" x14ac:dyDescent="0.25">
      <c r="A11" s="228">
        <v>0.16666666666666666</v>
      </c>
      <c r="B11" s="361" t="s">
        <v>168</v>
      </c>
      <c r="C11" s="2"/>
    </row>
    <row r="12" spans="1:8" ht="13.1" x14ac:dyDescent="0.25">
      <c r="A12" s="228">
        <v>0.16666666666666666</v>
      </c>
      <c r="B12" s="2" t="s">
        <v>39</v>
      </c>
      <c r="C12" s="2"/>
    </row>
    <row r="13" spans="1:8" s="360" customFormat="1" ht="13.1" x14ac:dyDescent="0.25">
      <c r="A13" s="228">
        <v>10</v>
      </c>
      <c r="B13" s="361" t="s">
        <v>185</v>
      </c>
      <c r="C13" s="361"/>
    </row>
    <row r="14" spans="1:8" ht="13.1" x14ac:dyDescent="0.25">
      <c r="A14" s="8">
        <v>0</v>
      </c>
      <c r="B14" s="2" t="s">
        <v>60</v>
      </c>
      <c r="C14" s="230">
        <f>IF(A11=6/24,13/24,IF(A11=4/24,20/24,IF(A11=8/24,10/24,"error")))</f>
        <v>0.83333333333333337</v>
      </c>
      <c r="D14" t="s">
        <v>61</v>
      </c>
    </row>
    <row r="15" spans="1:8" ht="13.1" x14ac:dyDescent="0.25">
      <c r="A15" s="228">
        <v>0</v>
      </c>
      <c r="B15" s="2" t="s">
        <v>75</v>
      </c>
      <c r="C15" s="2"/>
    </row>
    <row r="16" spans="1:8" ht="13.1" x14ac:dyDescent="0.25">
      <c r="A16" s="228">
        <v>0</v>
      </c>
      <c r="B16" s="2" t="s">
        <v>76</v>
      </c>
      <c r="C16" s="2"/>
    </row>
    <row r="19" spans="1:4" ht="13.1" x14ac:dyDescent="0.25">
      <c r="A19" s="364" t="s">
        <v>162</v>
      </c>
    </row>
    <row r="20" spans="1:4" ht="12.8" x14ac:dyDescent="0.2">
      <c r="A20" s="360"/>
      <c r="B20" s="89"/>
      <c r="C20" s="89"/>
      <c r="D20" s="89"/>
    </row>
    <row r="21" spans="1:4" ht="12.8" x14ac:dyDescent="0.2">
      <c r="A21" s="362" t="s">
        <v>174</v>
      </c>
      <c r="B21" s="89"/>
      <c r="C21" s="89"/>
      <c r="D21" s="89"/>
    </row>
    <row r="22" spans="1:4" ht="12.8" x14ac:dyDescent="0.2">
      <c r="A22" s="362" t="s">
        <v>175</v>
      </c>
      <c r="B22" s="89"/>
      <c r="C22" s="89"/>
      <c r="D22" s="89"/>
    </row>
    <row r="23" spans="1:4" ht="12.8" x14ac:dyDescent="0.2">
      <c r="A23" s="362" t="s">
        <v>176</v>
      </c>
      <c r="B23" s="89"/>
      <c r="C23" s="89"/>
      <c r="D23" s="89"/>
    </row>
    <row r="24" spans="1:4" ht="12.8" x14ac:dyDescent="0.2">
      <c r="A24" s="360"/>
      <c r="B24" s="89"/>
      <c r="C24" s="89"/>
      <c r="D24" s="89"/>
    </row>
    <row r="25" spans="1:4" s="360" customFormat="1" ht="12.8" x14ac:dyDescent="0.2">
      <c r="A25" s="360" t="s">
        <v>183</v>
      </c>
    </row>
    <row r="26" spans="1:4" s="360" customFormat="1" ht="12.8" x14ac:dyDescent="0.2"/>
    <row r="27" spans="1:4" ht="12.8" x14ac:dyDescent="0.2">
      <c r="A27" s="362" t="s">
        <v>177</v>
      </c>
      <c r="B27" s="89"/>
      <c r="C27" s="89"/>
      <c r="D27" s="89"/>
    </row>
    <row r="28" spans="1:4" ht="12.8" x14ac:dyDescent="0.2">
      <c r="A28" s="89"/>
      <c r="B28" s="89"/>
      <c r="C28" s="89"/>
      <c r="D28" s="89"/>
    </row>
    <row r="29" spans="1:4" ht="12.8" x14ac:dyDescent="0.2">
      <c r="A29" s="360" t="s">
        <v>147</v>
      </c>
      <c r="B29" s="89"/>
      <c r="C29" s="89"/>
      <c r="D29" s="89"/>
    </row>
    <row r="30" spans="1:4" ht="12.8" x14ac:dyDescent="0.2">
      <c r="A30" s="360" t="s">
        <v>148</v>
      </c>
      <c r="B30" s="89"/>
      <c r="C30" s="89"/>
      <c r="D30" s="89"/>
    </row>
    <row r="31" spans="1:4" ht="12.8" x14ac:dyDescent="0.2">
      <c r="A31" s="360" t="s">
        <v>34</v>
      </c>
      <c r="B31" s="89"/>
      <c r="C31" s="89"/>
      <c r="D31" s="89"/>
    </row>
    <row r="32" spans="1:4" ht="12.8" x14ac:dyDescent="0.2">
      <c r="A32" s="360" t="s">
        <v>149</v>
      </c>
      <c r="B32" s="89"/>
      <c r="C32" s="89"/>
      <c r="D32" s="89"/>
    </row>
    <row r="33" spans="1:4" ht="12.8" x14ac:dyDescent="0.2">
      <c r="A33" s="362" t="s">
        <v>150</v>
      </c>
      <c r="B33" s="89"/>
      <c r="C33" s="89"/>
      <c r="D33" s="89"/>
    </row>
    <row r="34" spans="1:4" ht="12.8" x14ac:dyDescent="0.2">
      <c r="A34" s="89"/>
      <c r="B34" s="89"/>
      <c r="C34" s="89"/>
      <c r="D34" s="89"/>
    </row>
    <row r="35" spans="1:4" ht="12.8" x14ac:dyDescent="0.2">
      <c r="A35" s="89"/>
      <c r="B35" s="89"/>
      <c r="C35" s="89"/>
      <c r="D35" s="89"/>
    </row>
    <row r="36" spans="1:4" x14ac:dyDescent="0.2">
      <c r="A36" s="360" t="s">
        <v>45</v>
      </c>
      <c r="B36" s="6"/>
      <c r="C36" s="89"/>
      <c r="D36" s="89"/>
    </row>
    <row r="37" spans="1:4" x14ac:dyDescent="0.2">
      <c r="A37" s="362" t="s">
        <v>151</v>
      </c>
      <c r="B37" s="360"/>
      <c r="C37" s="89"/>
      <c r="D37" s="89"/>
    </row>
    <row r="38" spans="1:4" x14ac:dyDescent="0.2">
      <c r="A38" s="360" t="s">
        <v>46</v>
      </c>
      <c r="B38" s="360"/>
      <c r="C38" s="89"/>
      <c r="D38" s="89"/>
    </row>
    <row r="39" spans="1:4" x14ac:dyDescent="0.2">
      <c r="A39" s="89"/>
      <c r="B39" s="89"/>
      <c r="C39" s="89"/>
      <c r="D39" s="89"/>
    </row>
    <row r="40" spans="1:4" x14ac:dyDescent="0.2">
      <c r="A40" s="360"/>
      <c r="B40" s="363" t="s">
        <v>44</v>
      </c>
      <c r="C40" s="89"/>
      <c r="D40" s="89"/>
    </row>
    <row r="41" spans="1:4" x14ac:dyDescent="0.2">
      <c r="A41" s="360"/>
      <c r="B41" s="360" t="s">
        <v>41</v>
      </c>
      <c r="C41" s="89"/>
      <c r="D41" s="89"/>
    </row>
    <row r="42" spans="1:4" x14ac:dyDescent="0.2">
      <c r="A42" s="360"/>
      <c r="B42" s="360" t="s">
        <v>42</v>
      </c>
      <c r="C42" s="89"/>
      <c r="D42" s="89"/>
    </row>
    <row r="43" spans="1:4" x14ac:dyDescent="0.2">
      <c r="A43" s="360"/>
      <c r="B43" s="360" t="s">
        <v>43</v>
      </c>
      <c r="C43" s="89"/>
      <c r="D43" s="89"/>
    </row>
    <row r="44" spans="1:4" x14ac:dyDescent="0.2">
      <c r="A44" s="89"/>
      <c r="B44" s="89"/>
      <c r="C44" s="89"/>
      <c r="D44" s="89"/>
    </row>
    <row r="45" spans="1:4" ht="13.1" x14ac:dyDescent="0.25">
      <c r="A45" s="364" t="s">
        <v>30</v>
      </c>
      <c r="B45" s="360"/>
      <c r="C45" s="89"/>
      <c r="D45" s="89"/>
    </row>
    <row r="46" spans="1:4" x14ac:dyDescent="0.2">
      <c r="A46" s="6"/>
      <c r="B46" s="89"/>
      <c r="C46" s="89"/>
      <c r="D46" s="89"/>
    </row>
    <row r="47" spans="1:4" x14ac:dyDescent="0.2">
      <c r="A47" s="367" t="s">
        <v>152</v>
      </c>
      <c r="B47" s="360"/>
      <c r="C47" s="89"/>
      <c r="D47" s="89"/>
    </row>
    <row r="48" spans="1:4" x14ac:dyDescent="0.2">
      <c r="A48" s="360" t="s">
        <v>52</v>
      </c>
      <c r="B48" s="360"/>
      <c r="C48" s="89"/>
      <c r="D48" s="89"/>
    </row>
    <row r="49" spans="1:4" x14ac:dyDescent="0.2">
      <c r="A49" s="360" t="s">
        <v>47</v>
      </c>
      <c r="B49" s="360"/>
      <c r="C49" s="89"/>
      <c r="D49" s="89"/>
    </row>
    <row r="50" spans="1:4" x14ac:dyDescent="0.2">
      <c r="A50" s="367" t="s">
        <v>178</v>
      </c>
      <c r="B50" s="360"/>
      <c r="C50" s="89"/>
      <c r="D50" s="89"/>
    </row>
    <row r="51" spans="1:4" x14ac:dyDescent="0.2">
      <c r="A51" s="367" t="s">
        <v>155</v>
      </c>
      <c r="B51" s="360"/>
      <c r="C51" s="89"/>
      <c r="D51" s="89"/>
    </row>
    <row r="52" spans="1:4" x14ac:dyDescent="0.2">
      <c r="A52" s="363" t="s">
        <v>66</v>
      </c>
      <c r="B52" s="360"/>
      <c r="C52" s="89"/>
      <c r="D52" s="89"/>
    </row>
    <row r="53" spans="1:4" x14ac:dyDescent="0.2">
      <c r="A53" s="363" t="s">
        <v>82</v>
      </c>
      <c r="B53" s="360"/>
      <c r="C53" s="360"/>
      <c r="D53" s="89"/>
    </row>
    <row r="54" spans="1:4" x14ac:dyDescent="0.2">
      <c r="A54" s="362" t="s">
        <v>153</v>
      </c>
      <c r="B54" s="360"/>
      <c r="C54" s="360"/>
      <c r="D54" s="89"/>
    </row>
    <row r="55" spans="1:4" x14ac:dyDescent="0.2">
      <c r="A55" s="367" t="s">
        <v>156</v>
      </c>
      <c r="B55" s="360"/>
      <c r="C55" s="360"/>
      <c r="D55" s="89"/>
    </row>
    <row r="56" spans="1:4" x14ac:dyDescent="0.2">
      <c r="A56" s="367" t="s">
        <v>157</v>
      </c>
      <c r="B56" s="360"/>
      <c r="C56" s="360"/>
      <c r="D56" s="89"/>
    </row>
    <row r="57" spans="1:4" x14ac:dyDescent="0.2">
      <c r="A57" s="367" t="s">
        <v>158</v>
      </c>
      <c r="B57" s="360"/>
      <c r="C57" s="360"/>
      <c r="D57" s="89"/>
    </row>
    <row r="58" spans="1:4" x14ac:dyDescent="0.2">
      <c r="A58" s="367" t="s">
        <v>159</v>
      </c>
      <c r="B58" s="360"/>
      <c r="C58" s="360"/>
      <c r="D58" s="89"/>
    </row>
    <row r="59" spans="1:4" x14ac:dyDescent="0.2">
      <c r="A59" s="367" t="s">
        <v>160</v>
      </c>
      <c r="B59" s="360"/>
      <c r="C59" s="360"/>
      <c r="D59" s="89"/>
    </row>
    <row r="60" spans="1:4" x14ac:dyDescent="0.2">
      <c r="A60" s="363" t="s">
        <v>49</v>
      </c>
      <c r="B60" s="363"/>
      <c r="C60" s="363"/>
      <c r="D60" s="89"/>
    </row>
    <row r="61" spans="1:4" x14ac:dyDescent="0.2">
      <c r="A61" s="367" t="s">
        <v>154</v>
      </c>
      <c r="B61" s="363"/>
      <c r="C61" s="363"/>
      <c r="D61" s="89"/>
    </row>
    <row r="62" spans="1:4" x14ac:dyDescent="0.2">
      <c r="A62" s="408" t="s">
        <v>161</v>
      </c>
      <c r="B62" s="409"/>
      <c r="C62" s="363"/>
      <c r="D62" s="89"/>
    </row>
    <row r="63" spans="1:4" x14ac:dyDescent="0.2">
      <c r="A63" s="366"/>
      <c r="B63" s="366"/>
      <c r="C63" s="363"/>
      <c r="D63" s="89"/>
    </row>
    <row r="64" spans="1:4" ht="13.1" x14ac:dyDescent="0.25">
      <c r="A64" s="364" t="s">
        <v>69</v>
      </c>
      <c r="B64" s="363"/>
      <c r="C64" s="363"/>
      <c r="D64" s="89"/>
    </row>
    <row r="65" spans="1:4" x14ac:dyDescent="0.2">
      <c r="A65" s="360" t="s">
        <v>63</v>
      </c>
      <c r="B65" s="363"/>
      <c r="C65" s="363"/>
      <c r="D65" s="89"/>
    </row>
    <row r="66" spans="1:4" x14ac:dyDescent="0.2">
      <c r="A66" s="362" t="s">
        <v>163</v>
      </c>
      <c r="B66" s="363"/>
      <c r="C66" s="363"/>
      <c r="D66" s="89"/>
    </row>
    <row r="67" spans="1:4" x14ac:dyDescent="0.2">
      <c r="A67" s="360" t="s">
        <v>164</v>
      </c>
      <c r="B67" s="363"/>
      <c r="C67" s="363"/>
      <c r="D67" s="89"/>
    </row>
    <row r="68" spans="1:4" x14ac:dyDescent="0.2">
      <c r="A68" s="360" t="s">
        <v>165</v>
      </c>
      <c r="B68" s="363"/>
      <c r="C68" s="363"/>
      <c r="D68" s="89"/>
    </row>
    <row r="69" spans="1:4" x14ac:dyDescent="0.2">
      <c r="A69" s="360" t="s">
        <v>166</v>
      </c>
      <c r="B69" s="363"/>
      <c r="C69" s="363"/>
      <c r="D69" s="89"/>
    </row>
    <row r="70" spans="1:4" x14ac:dyDescent="0.2">
      <c r="A70" s="360" t="s">
        <v>167</v>
      </c>
      <c r="B70" s="363"/>
      <c r="C70" s="363"/>
      <c r="D70" s="89"/>
    </row>
    <row r="71" spans="1:4" x14ac:dyDescent="0.2">
      <c r="A71" s="360" t="s">
        <v>64</v>
      </c>
      <c r="B71" s="363"/>
      <c r="C71" s="363"/>
      <c r="D71" s="89"/>
    </row>
    <row r="72" spans="1:4" x14ac:dyDescent="0.2">
      <c r="A72" s="360"/>
      <c r="B72" s="363"/>
      <c r="C72" s="363"/>
      <c r="D72" s="89"/>
    </row>
    <row r="73" spans="1:4" ht="13.1" x14ac:dyDescent="0.25">
      <c r="A73" s="364" t="s">
        <v>70</v>
      </c>
      <c r="B73" s="360"/>
      <c r="C73" s="360"/>
      <c r="D73" s="89"/>
    </row>
    <row r="74" spans="1:4" x14ac:dyDescent="0.2">
      <c r="A74" s="360" t="s">
        <v>65</v>
      </c>
      <c r="B74" s="363"/>
      <c r="C74" s="363"/>
      <c r="D74" s="89"/>
    </row>
    <row r="75" spans="1:4" x14ac:dyDescent="0.2">
      <c r="A75" s="363" t="s">
        <v>171</v>
      </c>
      <c r="B75" s="363"/>
      <c r="C75" s="363"/>
      <c r="D75" s="89"/>
    </row>
    <row r="76" spans="1:4" x14ac:dyDescent="0.2">
      <c r="A76" s="363"/>
      <c r="B76" s="363"/>
      <c r="C76" s="363"/>
      <c r="D76" s="89"/>
    </row>
    <row r="77" spans="1:4" ht="13.1" x14ac:dyDescent="0.25">
      <c r="A77" s="364" t="s">
        <v>67</v>
      </c>
      <c r="B77" s="363"/>
      <c r="C77" s="363"/>
      <c r="D77" s="89"/>
    </row>
    <row r="78" spans="1:4" x14ac:dyDescent="0.2">
      <c r="A78" s="365" t="s">
        <v>68</v>
      </c>
      <c r="B78" s="363"/>
      <c r="C78" s="363"/>
      <c r="D78" s="89"/>
    </row>
    <row r="79" spans="1:4" x14ac:dyDescent="0.2">
      <c r="A79" s="365" t="s">
        <v>172</v>
      </c>
      <c r="B79" s="363"/>
      <c r="C79" s="363"/>
      <c r="D79" s="89"/>
    </row>
    <row r="80" spans="1:4" s="360" customFormat="1" x14ac:dyDescent="0.2">
      <c r="A80" s="365"/>
      <c r="B80" s="363"/>
      <c r="C80" s="363"/>
    </row>
    <row r="81" spans="1:4" s="360" customFormat="1" x14ac:dyDescent="0.2">
      <c r="A81" s="365"/>
      <c r="B81" s="363"/>
      <c r="C81" s="363"/>
    </row>
    <row r="82" spans="1:4" s="360" customFormat="1" x14ac:dyDescent="0.2">
      <c r="A82" s="360" t="s">
        <v>81</v>
      </c>
      <c r="B82" s="363"/>
      <c r="C82" s="363"/>
    </row>
    <row r="83" spans="1:4" x14ac:dyDescent="0.2">
      <c r="B83" s="360"/>
      <c r="C83" s="360"/>
      <c r="D83" s="89"/>
    </row>
    <row r="84" spans="1:4" x14ac:dyDescent="0.2">
      <c r="A84" s="362" t="s">
        <v>220</v>
      </c>
      <c r="B84" s="360"/>
      <c r="C84" s="360"/>
      <c r="D84" s="89"/>
    </row>
    <row r="85" spans="1:4" x14ac:dyDescent="0.2">
      <c r="A85" s="362" t="s">
        <v>230</v>
      </c>
      <c r="B85" s="362" t="s">
        <v>233</v>
      </c>
      <c r="C85" s="6"/>
    </row>
    <row r="86" spans="1:4" x14ac:dyDescent="0.2">
      <c r="A86" s="362" t="s">
        <v>231</v>
      </c>
      <c r="B86" s="363" t="s">
        <v>232</v>
      </c>
      <c r="C86" s="6"/>
    </row>
    <row r="87" spans="1:4" x14ac:dyDescent="0.2">
      <c r="A87" s="362" t="s">
        <v>234</v>
      </c>
      <c r="B87" s="362" t="s">
        <v>235</v>
      </c>
    </row>
    <row r="88" spans="1:4" x14ac:dyDescent="0.2">
      <c r="A88" s="362" t="s">
        <v>236</v>
      </c>
      <c r="B88" s="362" t="s">
        <v>237</v>
      </c>
    </row>
    <row r="89" spans="1:4" x14ac:dyDescent="0.2">
      <c r="A89" s="362" t="s">
        <v>238</v>
      </c>
      <c r="B89" s="362" t="s">
        <v>239</v>
      </c>
    </row>
  </sheetData>
  <mergeCells count="1">
    <mergeCell ref="A62:B62"/>
  </mergeCells>
  <phoneticPr fontId="0" type="noConversion"/>
  <pageMargins left="0.75" right="0.75" top="1" bottom="1" header="0.5" footer="0.5"/>
  <pageSetup scale="83"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1"/>
  <sheetViews>
    <sheetView workbookViewId="0">
      <selection activeCell="A21" sqref="A21"/>
    </sheetView>
  </sheetViews>
  <sheetFormatPr defaultRowHeight="12.45" x14ac:dyDescent="0.2"/>
  <sheetData>
    <row r="1" spans="1:1" ht="15.05" x14ac:dyDescent="0.2">
      <c r="A1" s="406" t="s">
        <v>226</v>
      </c>
    </row>
    <row r="2" spans="1:1" s="360" customFormat="1" ht="15.05" x14ac:dyDescent="0.2">
      <c r="A2" s="406" t="s">
        <v>227</v>
      </c>
    </row>
    <row r="3" spans="1:1" ht="15.05" x14ac:dyDescent="0.2">
      <c r="A3" s="406"/>
    </row>
    <row r="4" spans="1:1" ht="15.05" x14ac:dyDescent="0.2">
      <c r="A4" s="407" t="s">
        <v>229</v>
      </c>
    </row>
    <row r="5" spans="1:1" ht="15.05" x14ac:dyDescent="0.2">
      <c r="A5" s="407" t="s">
        <v>228</v>
      </c>
    </row>
    <row r="6" spans="1:1" ht="15.05" x14ac:dyDescent="0.2">
      <c r="A6" s="407" t="s">
        <v>221</v>
      </c>
    </row>
    <row r="7" spans="1:1" ht="15.05" x14ac:dyDescent="0.2">
      <c r="A7" s="407" t="s">
        <v>222</v>
      </c>
    </row>
    <row r="8" spans="1:1" ht="15.05" x14ac:dyDescent="0.2">
      <c r="A8" s="407" t="s">
        <v>223</v>
      </c>
    </row>
    <row r="9" spans="1:1" ht="15.05" x14ac:dyDescent="0.2">
      <c r="A9" s="407" t="s">
        <v>224</v>
      </c>
    </row>
    <row r="10" spans="1:1" ht="15.05" x14ac:dyDescent="0.2">
      <c r="A10" s="407" t="s">
        <v>225</v>
      </c>
    </row>
    <row r="11" spans="1:1" ht="15.05" x14ac:dyDescent="0.2">
      <c r="A11" s="40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374"/>
  <sheetViews>
    <sheetView tabSelected="1" workbookViewId="0">
      <selection activeCell="K5" sqref="K5:N5"/>
    </sheetView>
  </sheetViews>
  <sheetFormatPr defaultColWidth="9.125" defaultRowHeight="15.05" x14ac:dyDescent="0.3"/>
  <cols>
    <col min="1" max="1" width="32.125" style="378" customWidth="1"/>
    <col min="2" max="2" width="9.125" style="378"/>
    <col min="3" max="3" width="11.625" style="378" bestFit="1" customWidth="1"/>
    <col min="4" max="16384" width="9.125" style="378"/>
  </cols>
  <sheetData>
    <row r="1" spans="1:14" ht="18" customHeight="1" x14ac:dyDescent="0.3">
      <c r="A1" s="421" t="s">
        <v>191</v>
      </c>
      <c r="B1" s="422"/>
      <c r="C1" s="422"/>
      <c r="D1" s="422"/>
      <c r="E1" s="422"/>
      <c r="F1" s="422"/>
      <c r="G1" s="422"/>
      <c r="H1" s="422"/>
      <c r="I1" s="422"/>
      <c r="J1" s="422"/>
      <c r="K1" s="422"/>
      <c r="L1" s="422"/>
      <c r="M1" s="422"/>
      <c r="N1" s="423"/>
    </row>
    <row r="2" spans="1:14" ht="18" customHeight="1" x14ac:dyDescent="0.3">
      <c r="A2" s="424" t="s">
        <v>192</v>
      </c>
      <c r="B2" s="425"/>
      <c r="C2" s="425"/>
      <c r="D2" s="425"/>
      <c r="E2" s="425"/>
      <c r="F2" s="425"/>
      <c r="G2" s="425"/>
      <c r="H2" s="425"/>
      <c r="I2" s="425"/>
      <c r="J2" s="425"/>
      <c r="K2" s="425"/>
      <c r="L2" s="425"/>
      <c r="M2" s="425"/>
      <c r="N2" s="426"/>
    </row>
    <row r="3" spans="1:14" ht="18.350000000000001" thickBot="1" x14ac:dyDescent="0.35">
      <c r="A3" s="427"/>
      <c r="B3" s="428"/>
      <c r="C3" s="428"/>
      <c r="D3" s="428"/>
      <c r="E3" s="428"/>
      <c r="F3" s="428"/>
      <c r="G3" s="428"/>
      <c r="H3" s="428"/>
      <c r="I3" s="428"/>
      <c r="J3" s="428"/>
      <c r="K3" s="428"/>
      <c r="L3" s="428"/>
      <c r="M3" s="428"/>
      <c r="N3" s="429"/>
    </row>
    <row r="4" spans="1:14" ht="16.55" customHeight="1" thickBot="1" x14ac:dyDescent="0.35">
      <c r="A4" s="410" t="s">
        <v>193</v>
      </c>
      <c r="B4" s="411"/>
      <c r="C4" s="411"/>
      <c r="D4" s="430">
        <v>42735</v>
      </c>
      <c r="E4" s="431"/>
      <c r="F4" s="431"/>
      <c r="G4" s="432"/>
      <c r="H4" s="410" t="s">
        <v>194</v>
      </c>
      <c r="I4" s="411"/>
      <c r="J4" s="411"/>
      <c r="K4" s="430">
        <v>43464</v>
      </c>
      <c r="L4" s="431"/>
      <c r="M4" s="431"/>
      <c r="N4" s="432"/>
    </row>
    <row r="5" spans="1:14" ht="16.55" customHeight="1" thickBot="1" x14ac:dyDescent="0.35">
      <c r="A5" s="410" t="s">
        <v>195</v>
      </c>
      <c r="B5" s="411"/>
      <c r="C5" s="411"/>
      <c r="D5" s="412" t="s">
        <v>208</v>
      </c>
      <c r="E5" s="413"/>
      <c r="F5" s="413"/>
      <c r="G5" s="414"/>
      <c r="H5" s="410" t="s">
        <v>196</v>
      </c>
      <c r="I5" s="411"/>
      <c r="J5" s="411"/>
      <c r="K5" s="415" t="str">
        <f>+Instructions!A4</f>
        <v>Firstname Lastname</v>
      </c>
      <c r="L5" s="411"/>
      <c r="M5" s="411"/>
      <c r="N5" s="416"/>
    </row>
    <row r="6" spans="1:14" x14ac:dyDescent="0.3">
      <c r="A6" s="417" t="s">
        <v>204</v>
      </c>
      <c r="B6" s="417" t="s">
        <v>197</v>
      </c>
      <c r="C6" s="419" t="s">
        <v>198</v>
      </c>
      <c r="D6" s="419" t="s">
        <v>205</v>
      </c>
      <c r="E6" s="419" t="s">
        <v>206</v>
      </c>
    </row>
    <row r="7" spans="1:14" ht="15.75" thickBot="1" x14ac:dyDescent="0.35">
      <c r="A7" s="418"/>
      <c r="B7" s="418"/>
      <c r="C7" s="420"/>
      <c r="D7" s="420"/>
      <c r="E7" s="420"/>
    </row>
    <row r="8" spans="1:14" ht="15.75" thickBot="1" x14ac:dyDescent="0.35">
      <c r="A8" s="387" t="s">
        <v>207</v>
      </c>
      <c r="C8" s="384"/>
      <c r="D8" s="400">
        <v>0</v>
      </c>
      <c r="E8" s="401">
        <v>0</v>
      </c>
      <c r="H8" s="403"/>
      <c r="I8" s="402" t="s">
        <v>212</v>
      </c>
    </row>
    <row r="9" spans="1:14" ht="15.75" thickBot="1" x14ac:dyDescent="0.35">
      <c r="A9" s="385">
        <f>+'P1'!G23</f>
        <v>42737</v>
      </c>
      <c r="B9" s="379">
        <v>1</v>
      </c>
      <c r="C9" s="384">
        <f>+'P1'!$G$65</f>
        <v>0</v>
      </c>
      <c r="D9" s="386">
        <f>+C9+D8</f>
        <v>0</v>
      </c>
      <c r="E9" s="378">
        <f t="shared" ref="E9:E36" si="0">IF(C9&gt;0,E8+1,E8)</f>
        <v>0</v>
      </c>
    </row>
    <row r="10" spans="1:14" ht="15.75" thickBot="1" x14ac:dyDescent="0.35">
      <c r="A10" s="385">
        <f>+A9+1</f>
        <v>42738</v>
      </c>
      <c r="B10" s="379">
        <v>2</v>
      </c>
      <c r="C10" s="384">
        <f>+'P1'!$H$65</f>
        <v>0</v>
      </c>
      <c r="D10" s="386">
        <f>+C10+D9</f>
        <v>0</v>
      </c>
      <c r="E10" s="378">
        <f t="shared" si="0"/>
        <v>0</v>
      </c>
      <c r="H10" s="402" t="s">
        <v>213</v>
      </c>
    </row>
    <row r="11" spans="1:14" ht="15.75" thickBot="1" x14ac:dyDescent="0.35">
      <c r="A11" s="385">
        <f t="shared" ref="A11:A74" si="1">+A10+1</f>
        <v>42739</v>
      </c>
      <c r="B11" s="379">
        <v>3</v>
      </c>
      <c r="C11" s="384">
        <f>+'P1'!$I$65</f>
        <v>0</v>
      </c>
      <c r="D11" s="386">
        <f t="shared" ref="D11:D74" si="2">+C11+D10</f>
        <v>0</v>
      </c>
      <c r="E11" s="378">
        <f t="shared" si="0"/>
        <v>0</v>
      </c>
    </row>
    <row r="12" spans="1:14" ht="15.75" thickBot="1" x14ac:dyDescent="0.35">
      <c r="A12" s="385">
        <f t="shared" si="1"/>
        <v>42740</v>
      </c>
      <c r="B12" s="379">
        <v>4</v>
      </c>
      <c r="C12" s="384">
        <f>+'P1'!$J$65</f>
        <v>0</v>
      </c>
      <c r="D12" s="386">
        <f t="shared" si="2"/>
        <v>0</v>
      </c>
      <c r="E12" s="378">
        <f t="shared" si="0"/>
        <v>0</v>
      </c>
      <c r="H12" s="402" t="s">
        <v>214</v>
      </c>
    </row>
    <row r="13" spans="1:14" ht="15.75" thickBot="1" x14ac:dyDescent="0.35">
      <c r="A13" s="385">
        <f t="shared" si="1"/>
        <v>42741</v>
      </c>
      <c r="B13" s="379">
        <v>5</v>
      </c>
      <c r="C13" s="384">
        <f>+'P1'!$K$65</f>
        <v>0</v>
      </c>
      <c r="D13" s="386">
        <f t="shared" si="2"/>
        <v>0</v>
      </c>
      <c r="E13" s="378">
        <f t="shared" si="0"/>
        <v>0</v>
      </c>
      <c r="H13" s="402" t="s">
        <v>215</v>
      </c>
    </row>
    <row r="14" spans="1:14" ht="15.75" thickBot="1" x14ac:dyDescent="0.35">
      <c r="A14" s="385">
        <f t="shared" si="1"/>
        <v>42742</v>
      </c>
      <c r="B14" s="379">
        <v>6</v>
      </c>
      <c r="C14" s="384">
        <f>+'P1'!$L$65</f>
        <v>0</v>
      </c>
      <c r="D14" s="386">
        <f t="shared" si="2"/>
        <v>0</v>
      </c>
      <c r="E14" s="378">
        <f t="shared" si="0"/>
        <v>0</v>
      </c>
    </row>
    <row r="15" spans="1:14" ht="15.75" thickBot="1" x14ac:dyDescent="0.35">
      <c r="A15" s="385">
        <f t="shared" si="1"/>
        <v>42743</v>
      </c>
      <c r="B15" s="379">
        <v>7</v>
      </c>
      <c r="C15" s="384">
        <f>+'P1'!$M$65</f>
        <v>0</v>
      </c>
      <c r="D15" s="386">
        <f t="shared" si="2"/>
        <v>0</v>
      </c>
      <c r="E15" s="378">
        <f t="shared" si="0"/>
        <v>0</v>
      </c>
      <c r="H15" s="404" t="s">
        <v>217</v>
      </c>
    </row>
    <row r="16" spans="1:14" ht="15.75" thickBot="1" x14ac:dyDescent="0.35">
      <c r="A16" s="385">
        <f t="shared" si="1"/>
        <v>42744</v>
      </c>
      <c r="B16" s="379">
        <v>8</v>
      </c>
      <c r="C16" s="384">
        <f>+'P1'!$P$65</f>
        <v>0</v>
      </c>
      <c r="D16" s="386">
        <f t="shared" si="2"/>
        <v>0</v>
      </c>
      <c r="E16" s="378">
        <f t="shared" si="0"/>
        <v>0</v>
      </c>
      <c r="H16" s="402" t="s">
        <v>216</v>
      </c>
    </row>
    <row r="17" spans="1:5" ht="15.75" thickBot="1" x14ac:dyDescent="0.35">
      <c r="A17" s="385">
        <f t="shared" si="1"/>
        <v>42745</v>
      </c>
      <c r="B17" s="379">
        <v>9</v>
      </c>
      <c r="C17" s="384">
        <f>+'P1'!$Q$65</f>
        <v>0</v>
      </c>
      <c r="D17" s="386">
        <f t="shared" si="2"/>
        <v>0</v>
      </c>
      <c r="E17" s="378">
        <f t="shared" si="0"/>
        <v>0</v>
      </c>
    </row>
    <row r="18" spans="1:5" ht="15.75" thickBot="1" x14ac:dyDescent="0.35">
      <c r="A18" s="385">
        <f t="shared" si="1"/>
        <v>42746</v>
      </c>
      <c r="B18" s="379">
        <v>10</v>
      </c>
      <c r="C18" s="384">
        <f>+'P1'!$R$65</f>
        <v>0</v>
      </c>
      <c r="D18" s="386">
        <f t="shared" si="2"/>
        <v>0</v>
      </c>
      <c r="E18" s="378">
        <f t="shared" si="0"/>
        <v>0</v>
      </c>
    </row>
    <row r="19" spans="1:5" ht="15.75" thickBot="1" x14ac:dyDescent="0.35">
      <c r="A19" s="385">
        <f t="shared" si="1"/>
        <v>42747</v>
      </c>
      <c r="B19" s="379">
        <v>11</v>
      </c>
      <c r="C19" s="384">
        <f>+'P1'!$S$65</f>
        <v>0</v>
      </c>
      <c r="D19" s="386">
        <f t="shared" si="2"/>
        <v>0</v>
      </c>
      <c r="E19" s="378">
        <f t="shared" si="0"/>
        <v>0</v>
      </c>
    </row>
    <row r="20" spans="1:5" ht="15.75" thickBot="1" x14ac:dyDescent="0.35">
      <c r="A20" s="385">
        <f t="shared" si="1"/>
        <v>42748</v>
      </c>
      <c r="B20" s="379">
        <v>12</v>
      </c>
      <c r="C20" s="384">
        <f>+'P1'!$T$65</f>
        <v>0</v>
      </c>
      <c r="D20" s="386">
        <f t="shared" si="2"/>
        <v>0</v>
      </c>
      <c r="E20" s="378">
        <f t="shared" si="0"/>
        <v>0</v>
      </c>
    </row>
    <row r="21" spans="1:5" ht="15.75" thickBot="1" x14ac:dyDescent="0.35">
      <c r="A21" s="385">
        <f t="shared" si="1"/>
        <v>42749</v>
      </c>
      <c r="B21" s="379">
        <v>13</v>
      </c>
      <c r="C21" s="384">
        <f>+'P1'!$U$65</f>
        <v>0</v>
      </c>
      <c r="D21" s="386">
        <f t="shared" si="2"/>
        <v>0</v>
      </c>
      <c r="E21" s="378">
        <f t="shared" si="0"/>
        <v>0</v>
      </c>
    </row>
    <row r="22" spans="1:5" ht="15.75" thickBot="1" x14ac:dyDescent="0.35">
      <c r="A22" s="385">
        <f t="shared" si="1"/>
        <v>42750</v>
      </c>
      <c r="B22" s="379">
        <v>14</v>
      </c>
      <c r="C22" s="384">
        <f>+'P1'!$V$65</f>
        <v>0</v>
      </c>
      <c r="D22" s="386">
        <f t="shared" si="2"/>
        <v>0</v>
      </c>
      <c r="E22" s="378">
        <f t="shared" si="0"/>
        <v>0</v>
      </c>
    </row>
    <row r="23" spans="1:5" ht="15.75" thickBot="1" x14ac:dyDescent="0.35">
      <c r="A23" s="385">
        <f t="shared" si="1"/>
        <v>42751</v>
      </c>
      <c r="B23" s="379">
        <v>15</v>
      </c>
      <c r="C23" s="384">
        <f>+'P2'!$G$65</f>
        <v>0</v>
      </c>
      <c r="D23" s="386">
        <f t="shared" si="2"/>
        <v>0</v>
      </c>
      <c r="E23" s="378">
        <f t="shared" si="0"/>
        <v>0</v>
      </c>
    </row>
    <row r="24" spans="1:5" ht="15.75" thickBot="1" x14ac:dyDescent="0.35">
      <c r="A24" s="385">
        <f t="shared" si="1"/>
        <v>42752</v>
      </c>
      <c r="B24" s="379">
        <v>16</v>
      </c>
      <c r="C24" s="384">
        <f>+'P2'!$H$65</f>
        <v>0.33333333333333331</v>
      </c>
      <c r="D24" s="386">
        <f t="shared" si="2"/>
        <v>0.33333333333333331</v>
      </c>
      <c r="E24" s="378">
        <f t="shared" si="0"/>
        <v>1</v>
      </c>
    </row>
    <row r="25" spans="1:5" ht="15.75" thickBot="1" x14ac:dyDescent="0.35">
      <c r="A25" s="385">
        <f t="shared" si="1"/>
        <v>42753</v>
      </c>
      <c r="B25" s="379">
        <v>17</v>
      </c>
      <c r="C25" s="384">
        <f>+'P2'!$I$65</f>
        <v>0</v>
      </c>
      <c r="D25" s="386">
        <f t="shared" si="2"/>
        <v>0.33333333333333331</v>
      </c>
      <c r="E25" s="378">
        <f t="shared" si="0"/>
        <v>1</v>
      </c>
    </row>
    <row r="26" spans="1:5" ht="15.75" thickBot="1" x14ac:dyDescent="0.35">
      <c r="A26" s="385">
        <f t="shared" si="1"/>
        <v>42754</v>
      </c>
      <c r="B26" s="379">
        <v>18</v>
      </c>
      <c r="C26" s="384">
        <f>+'P2'!$J$65</f>
        <v>0</v>
      </c>
      <c r="D26" s="386">
        <f t="shared" si="2"/>
        <v>0.33333333333333331</v>
      </c>
      <c r="E26" s="378">
        <f t="shared" si="0"/>
        <v>1</v>
      </c>
    </row>
    <row r="27" spans="1:5" ht="15.75" thickBot="1" x14ac:dyDescent="0.35">
      <c r="A27" s="385">
        <f t="shared" si="1"/>
        <v>42755</v>
      </c>
      <c r="B27" s="379">
        <v>19</v>
      </c>
      <c r="C27" s="384">
        <f>+'P2'!$K$65</f>
        <v>0</v>
      </c>
      <c r="D27" s="386">
        <f t="shared" si="2"/>
        <v>0.33333333333333331</v>
      </c>
      <c r="E27" s="378">
        <f t="shared" si="0"/>
        <v>1</v>
      </c>
    </row>
    <row r="28" spans="1:5" ht="15.75" thickBot="1" x14ac:dyDescent="0.35">
      <c r="A28" s="385">
        <f t="shared" si="1"/>
        <v>42756</v>
      </c>
      <c r="B28" s="379">
        <v>20</v>
      </c>
      <c r="C28" s="384">
        <f>+'P2'!$L$65</f>
        <v>0</v>
      </c>
      <c r="D28" s="386">
        <f t="shared" si="2"/>
        <v>0.33333333333333331</v>
      </c>
      <c r="E28" s="378">
        <f t="shared" si="0"/>
        <v>1</v>
      </c>
    </row>
    <row r="29" spans="1:5" ht="15.75" thickBot="1" x14ac:dyDescent="0.35">
      <c r="A29" s="385">
        <f t="shared" si="1"/>
        <v>42757</v>
      </c>
      <c r="B29" s="379">
        <v>21</v>
      </c>
      <c r="C29" s="384">
        <f>+'P2'!$M$65</f>
        <v>0</v>
      </c>
      <c r="D29" s="386">
        <f t="shared" si="2"/>
        <v>0.33333333333333331</v>
      </c>
      <c r="E29" s="378">
        <f t="shared" si="0"/>
        <v>1</v>
      </c>
    </row>
    <row r="30" spans="1:5" ht="15.75" thickBot="1" x14ac:dyDescent="0.35">
      <c r="A30" s="385">
        <f t="shared" si="1"/>
        <v>42758</v>
      </c>
      <c r="B30" s="379">
        <v>22</v>
      </c>
      <c r="C30" s="384">
        <f>+'P2'!$P$65</f>
        <v>0</v>
      </c>
      <c r="D30" s="386">
        <f t="shared" si="2"/>
        <v>0.33333333333333331</v>
      </c>
      <c r="E30" s="378">
        <f t="shared" si="0"/>
        <v>1</v>
      </c>
    </row>
    <row r="31" spans="1:5" ht="15.75" customHeight="1" thickBot="1" x14ac:dyDescent="0.35">
      <c r="A31" s="385">
        <f t="shared" si="1"/>
        <v>42759</v>
      </c>
      <c r="B31" s="379">
        <v>23</v>
      </c>
      <c r="C31" s="384">
        <f>+'P2'!$Q$65</f>
        <v>0</v>
      </c>
      <c r="D31" s="386">
        <f t="shared" si="2"/>
        <v>0.33333333333333331</v>
      </c>
      <c r="E31" s="378">
        <f t="shared" si="0"/>
        <v>1</v>
      </c>
    </row>
    <row r="32" spans="1:5" ht="15.75" thickBot="1" x14ac:dyDescent="0.35">
      <c r="A32" s="385">
        <f t="shared" si="1"/>
        <v>42760</v>
      </c>
      <c r="B32" s="379">
        <v>24</v>
      </c>
      <c r="C32" s="384">
        <f>+'P2'!$R$65</f>
        <v>0</v>
      </c>
      <c r="D32" s="386">
        <f t="shared" si="2"/>
        <v>0.33333333333333331</v>
      </c>
      <c r="E32" s="378">
        <f t="shared" si="0"/>
        <v>1</v>
      </c>
    </row>
    <row r="33" spans="1:5" ht="15.75" thickBot="1" x14ac:dyDescent="0.35">
      <c r="A33" s="385">
        <f t="shared" si="1"/>
        <v>42761</v>
      </c>
      <c r="B33" s="379">
        <v>25</v>
      </c>
      <c r="C33" s="384">
        <f>+'P2'!$S$65</f>
        <v>0</v>
      </c>
      <c r="D33" s="386">
        <f t="shared" si="2"/>
        <v>0.33333333333333331</v>
      </c>
      <c r="E33" s="378">
        <f t="shared" si="0"/>
        <v>1</v>
      </c>
    </row>
    <row r="34" spans="1:5" x14ac:dyDescent="0.3">
      <c r="A34" s="385">
        <f t="shared" si="1"/>
        <v>42762</v>
      </c>
      <c r="B34" s="380">
        <v>26</v>
      </c>
      <c r="C34" s="384">
        <f>+'P2'!$T$65</f>
        <v>0</v>
      </c>
      <c r="D34" s="386">
        <f t="shared" si="2"/>
        <v>0.33333333333333331</v>
      </c>
      <c r="E34" s="378">
        <f t="shared" si="0"/>
        <v>1</v>
      </c>
    </row>
    <row r="35" spans="1:5" ht="15.75" thickBot="1" x14ac:dyDescent="0.35">
      <c r="A35" s="385">
        <f t="shared" si="1"/>
        <v>42763</v>
      </c>
      <c r="B35" s="379">
        <v>27</v>
      </c>
      <c r="C35" s="384">
        <f>+'P2'!$U$65</f>
        <v>0</v>
      </c>
      <c r="D35" s="386">
        <f t="shared" si="2"/>
        <v>0.33333333333333331</v>
      </c>
      <c r="E35" s="378">
        <f t="shared" si="0"/>
        <v>1</v>
      </c>
    </row>
    <row r="36" spans="1:5" ht="15.75" thickBot="1" x14ac:dyDescent="0.35">
      <c r="A36" s="385">
        <f t="shared" si="1"/>
        <v>42764</v>
      </c>
      <c r="B36" s="379">
        <v>28</v>
      </c>
      <c r="C36" s="384">
        <f>+'P2'!$V$65</f>
        <v>0</v>
      </c>
      <c r="D36" s="386">
        <f t="shared" si="2"/>
        <v>0.33333333333333331</v>
      </c>
      <c r="E36" s="378">
        <f t="shared" si="0"/>
        <v>1</v>
      </c>
    </row>
    <row r="37" spans="1:5" x14ac:dyDescent="0.3">
      <c r="A37" s="385">
        <f t="shared" si="1"/>
        <v>42765</v>
      </c>
      <c r="B37" s="380">
        <v>29</v>
      </c>
      <c r="C37" s="384">
        <f>+'P3'!$G$65</f>
        <v>0</v>
      </c>
      <c r="D37" s="386">
        <f t="shared" si="2"/>
        <v>0.33333333333333331</v>
      </c>
      <c r="E37" s="378">
        <f t="shared" ref="E37:E100" si="3">IF(C37&gt;0,E36+1,E36)</f>
        <v>1</v>
      </c>
    </row>
    <row r="38" spans="1:5" ht="15.75" thickBot="1" x14ac:dyDescent="0.35">
      <c r="A38" s="385">
        <f t="shared" si="1"/>
        <v>42766</v>
      </c>
      <c r="B38" s="379">
        <v>30</v>
      </c>
      <c r="C38" s="384">
        <f>+'P3'!$H$65</f>
        <v>0</v>
      </c>
      <c r="D38" s="386">
        <f t="shared" si="2"/>
        <v>0.33333333333333331</v>
      </c>
      <c r="E38" s="378">
        <f t="shared" si="3"/>
        <v>1</v>
      </c>
    </row>
    <row r="39" spans="1:5" ht="15.75" thickBot="1" x14ac:dyDescent="0.35">
      <c r="A39" s="385">
        <f t="shared" si="1"/>
        <v>42767</v>
      </c>
      <c r="B39" s="379">
        <v>31</v>
      </c>
      <c r="C39" s="384">
        <f>+'P3'!$I$65</f>
        <v>0</v>
      </c>
      <c r="D39" s="386">
        <f t="shared" si="2"/>
        <v>0.33333333333333331</v>
      </c>
      <c r="E39" s="378">
        <f t="shared" si="3"/>
        <v>1</v>
      </c>
    </row>
    <row r="40" spans="1:5" x14ac:dyDescent="0.3">
      <c r="A40" s="385">
        <f t="shared" si="1"/>
        <v>42768</v>
      </c>
      <c r="B40" s="380">
        <v>32</v>
      </c>
      <c r="C40" s="384">
        <f>+'P3'!$J$65</f>
        <v>0</v>
      </c>
      <c r="D40" s="386">
        <f t="shared" si="2"/>
        <v>0.33333333333333331</v>
      </c>
      <c r="E40" s="378">
        <f t="shared" si="3"/>
        <v>1</v>
      </c>
    </row>
    <row r="41" spans="1:5" ht="15.75" thickBot="1" x14ac:dyDescent="0.35">
      <c r="A41" s="385">
        <f t="shared" si="1"/>
        <v>42769</v>
      </c>
      <c r="B41" s="379">
        <v>33</v>
      </c>
      <c r="C41" s="384">
        <f>+'P3'!$K$65</f>
        <v>0</v>
      </c>
      <c r="D41" s="386">
        <f t="shared" si="2"/>
        <v>0.33333333333333331</v>
      </c>
      <c r="E41" s="378">
        <f t="shared" si="3"/>
        <v>1</v>
      </c>
    </row>
    <row r="42" spans="1:5" ht="15.75" thickBot="1" x14ac:dyDescent="0.35">
      <c r="A42" s="385">
        <f t="shared" si="1"/>
        <v>42770</v>
      </c>
      <c r="B42" s="379">
        <v>34</v>
      </c>
      <c r="C42" s="384">
        <f>+'P3'!$L$65</f>
        <v>0</v>
      </c>
      <c r="D42" s="386">
        <f t="shared" si="2"/>
        <v>0.33333333333333331</v>
      </c>
      <c r="E42" s="378">
        <f t="shared" si="3"/>
        <v>1</v>
      </c>
    </row>
    <row r="43" spans="1:5" x14ac:dyDescent="0.3">
      <c r="A43" s="385">
        <f t="shared" si="1"/>
        <v>42771</v>
      </c>
      <c r="B43" s="380">
        <v>35</v>
      </c>
      <c r="C43" s="384">
        <f>+'P3'!$M$65</f>
        <v>0</v>
      </c>
      <c r="D43" s="386">
        <f t="shared" si="2"/>
        <v>0.33333333333333331</v>
      </c>
      <c r="E43" s="378">
        <f t="shared" si="3"/>
        <v>1</v>
      </c>
    </row>
    <row r="44" spans="1:5" ht="15.75" thickBot="1" x14ac:dyDescent="0.35">
      <c r="A44" s="385">
        <f t="shared" si="1"/>
        <v>42772</v>
      </c>
      <c r="B44" s="379">
        <v>36</v>
      </c>
      <c r="C44" s="384">
        <f>+'P3'!$P$65</f>
        <v>0</v>
      </c>
      <c r="D44" s="386">
        <f t="shared" si="2"/>
        <v>0.33333333333333331</v>
      </c>
      <c r="E44" s="378">
        <f t="shared" si="3"/>
        <v>1</v>
      </c>
    </row>
    <row r="45" spans="1:5" ht="15.75" thickBot="1" x14ac:dyDescent="0.35">
      <c r="A45" s="385">
        <f t="shared" si="1"/>
        <v>42773</v>
      </c>
      <c r="B45" s="379">
        <v>37</v>
      </c>
      <c r="C45" s="384">
        <f>+'P3'!$Q$65</f>
        <v>0</v>
      </c>
      <c r="D45" s="386">
        <f t="shared" si="2"/>
        <v>0.33333333333333331</v>
      </c>
      <c r="E45" s="378">
        <f t="shared" si="3"/>
        <v>1</v>
      </c>
    </row>
    <row r="46" spans="1:5" x14ac:dyDescent="0.3">
      <c r="A46" s="385">
        <f t="shared" si="1"/>
        <v>42774</v>
      </c>
      <c r="B46" s="380">
        <v>38</v>
      </c>
      <c r="C46" s="384">
        <f>+'P3'!$R$65</f>
        <v>0</v>
      </c>
      <c r="D46" s="386">
        <f t="shared" si="2"/>
        <v>0.33333333333333331</v>
      </c>
      <c r="E46" s="378">
        <f t="shared" si="3"/>
        <v>1</v>
      </c>
    </row>
    <row r="47" spans="1:5" ht="15.75" thickBot="1" x14ac:dyDescent="0.35">
      <c r="A47" s="385">
        <f t="shared" si="1"/>
        <v>42775</v>
      </c>
      <c r="B47" s="379">
        <v>39</v>
      </c>
      <c r="C47" s="384">
        <f>+'P3'!$S$65</f>
        <v>0</v>
      </c>
      <c r="D47" s="386">
        <f t="shared" si="2"/>
        <v>0.33333333333333331</v>
      </c>
      <c r="E47" s="378">
        <f t="shared" si="3"/>
        <v>1</v>
      </c>
    </row>
    <row r="48" spans="1:5" ht="15.75" thickBot="1" x14ac:dyDescent="0.35">
      <c r="A48" s="385">
        <f t="shared" si="1"/>
        <v>42776</v>
      </c>
      <c r="B48" s="379">
        <v>40</v>
      </c>
      <c r="C48" s="384">
        <f>+'P3'!$T$65</f>
        <v>0</v>
      </c>
      <c r="D48" s="386">
        <f t="shared" si="2"/>
        <v>0.33333333333333331</v>
      </c>
      <c r="E48" s="378">
        <f t="shared" si="3"/>
        <v>1</v>
      </c>
    </row>
    <row r="49" spans="1:5" x14ac:dyDescent="0.3">
      <c r="A49" s="385">
        <f t="shared" si="1"/>
        <v>42777</v>
      </c>
      <c r="B49" s="380">
        <v>41</v>
      </c>
      <c r="C49" s="384">
        <f>+'P3'!$U$65</f>
        <v>0</v>
      </c>
      <c r="D49" s="386">
        <f t="shared" si="2"/>
        <v>0.33333333333333331</v>
      </c>
      <c r="E49" s="378">
        <f t="shared" si="3"/>
        <v>1</v>
      </c>
    </row>
    <row r="50" spans="1:5" ht="15.75" thickBot="1" x14ac:dyDescent="0.35">
      <c r="A50" s="385">
        <f t="shared" si="1"/>
        <v>42778</v>
      </c>
      <c r="B50" s="379">
        <v>42</v>
      </c>
      <c r="C50" s="384">
        <f>+'P3'!$V$65</f>
        <v>0</v>
      </c>
      <c r="D50" s="386">
        <f t="shared" si="2"/>
        <v>0.33333333333333331</v>
      </c>
      <c r="E50" s="378">
        <f t="shared" si="3"/>
        <v>1</v>
      </c>
    </row>
    <row r="51" spans="1:5" ht="15.75" thickBot="1" x14ac:dyDescent="0.35">
      <c r="A51" s="385">
        <f t="shared" si="1"/>
        <v>42779</v>
      </c>
      <c r="B51" s="379">
        <v>43</v>
      </c>
      <c r="C51" s="384">
        <f>+'P4'!$G$65</f>
        <v>0</v>
      </c>
      <c r="D51" s="386">
        <f t="shared" si="2"/>
        <v>0.33333333333333331</v>
      </c>
      <c r="E51" s="378">
        <f t="shared" si="3"/>
        <v>1</v>
      </c>
    </row>
    <row r="52" spans="1:5" x14ac:dyDescent="0.3">
      <c r="A52" s="385">
        <f t="shared" si="1"/>
        <v>42780</v>
      </c>
      <c r="B52" s="380">
        <v>44</v>
      </c>
      <c r="C52" s="384">
        <f>+'P4'!$H$65</f>
        <v>0.33333333333333331</v>
      </c>
      <c r="D52" s="386">
        <f t="shared" si="2"/>
        <v>0.66666666666666663</v>
      </c>
      <c r="E52" s="378">
        <f t="shared" si="3"/>
        <v>2</v>
      </c>
    </row>
    <row r="53" spans="1:5" ht="15.75" thickBot="1" x14ac:dyDescent="0.35">
      <c r="A53" s="385">
        <f t="shared" si="1"/>
        <v>42781</v>
      </c>
      <c r="B53" s="379">
        <v>45</v>
      </c>
      <c r="C53" s="384">
        <f>+'P4'!$I$65</f>
        <v>0</v>
      </c>
      <c r="D53" s="386">
        <f t="shared" si="2"/>
        <v>0.66666666666666663</v>
      </c>
      <c r="E53" s="378">
        <f t="shared" si="3"/>
        <v>2</v>
      </c>
    </row>
    <row r="54" spans="1:5" ht="15.75" thickBot="1" x14ac:dyDescent="0.35">
      <c r="A54" s="385">
        <f t="shared" si="1"/>
        <v>42782</v>
      </c>
      <c r="B54" s="379">
        <v>46</v>
      </c>
      <c r="C54" s="384">
        <f>+'P4'!$J$65</f>
        <v>0</v>
      </c>
      <c r="D54" s="386">
        <f t="shared" si="2"/>
        <v>0.66666666666666663</v>
      </c>
      <c r="E54" s="378">
        <f t="shared" si="3"/>
        <v>2</v>
      </c>
    </row>
    <row r="55" spans="1:5" x14ac:dyDescent="0.3">
      <c r="A55" s="385">
        <f t="shared" si="1"/>
        <v>42783</v>
      </c>
      <c r="B55" s="380">
        <v>47</v>
      </c>
      <c r="C55" s="384">
        <f>+'P4'!$K$65</f>
        <v>0</v>
      </c>
      <c r="D55" s="386">
        <f t="shared" si="2"/>
        <v>0.66666666666666663</v>
      </c>
      <c r="E55" s="378">
        <f t="shared" si="3"/>
        <v>2</v>
      </c>
    </row>
    <row r="56" spans="1:5" ht="15.75" thickBot="1" x14ac:dyDescent="0.35">
      <c r="A56" s="385">
        <f t="shared" si="1"/>
        <v>42784</v>
      </c>
      <c r="B56" s="379">
        <v>48</v>
      </c>
      <c r="C56" s="384">
        <f>+'P4'!$L$65</f>
        <v>0</v>
      </c>
      <c r="D56" s="386">
        <f t="shared" si="2"/>
        <v>0.66666666666666663</v>
      </c>
      <c r="E56" s="378">
        <f t="shared" si="3"/>
        <v>2</v>
      </c>
    </row>
    <row r="57" spans="1:5" ht="15.75" thickBot="1" x14ac:dyDescent="0.35">
      <c r="A57" s="385">
        <f t="shared" si="1"/>
        <v>42785</v>
      </c>
      <c r="B57" s="379">
        <v>49</v>
      </c>
      <c r="C57" s="384">
        <f>+'P4'!$M$65</f>
        <v>0</v>
      </c>
      <c r="D57" s="386">
        <f t="shared" si="2"/>
        <v>0.66666666666666663</v>
      </c>
      <c r="E57" s="378">
        <f t="shared" si="3"/>
        <v>2</v>
      </c>
    </row>
    <row r="58" spans="1:5" x14ac:dyDescent="0.3">
      <c r="A58" s="385">
        <f t="shared" si="1"/>
        <v>42786</v>
      </c>
      <c r="B58" s="380">
        <v>50</v>
      </c>
      <c r="C58" s="384">
        <f>+'P4'!$P$65</f>
        <v>0</v>
      </c>
      <c r="D58" s="386">
        <f t="shared" si="2"/>
        <v>0.66666666666666663</v>
      </c>
      <c r="E58" s="378">
        <f t="shared" si="3"/>
        <v>2</v>
      </c>
    </row>
    <row r="59" spans="1:5" ht="15.75" thickBot="1" x14ac:dyDescent="0.35">
      <c r="A59" s="385">
        <f t="shared" si="1"/>
        <v>42787</v>
      </c>
      <c r="B59" s="379">
        <v>51</v>
      </c>
      <c r="C59" s="384">
        <f>+'P4'!$Q$65</f>
        <v>0</v>
      </c>
      <c r="D59" s="386">
        <f t="shared" si="2"/>
        <v>0.66666666666666663</v>
      </c>
      <c r="E59" s="378">
        <f t="shared" si="3"/>
        <v>2</v>
      </c>
    </row>
    <row r="60" spans="1:5" ht="15.75" thickBot="1" x14ac:dyDescent="0.35">
      <c r="A60" s="385">
        <f t="shared" si="1"/>
        <v>42788</v>
      </c>
      <c r="B60" s="379">
        <v>52</v>
      </c>
      <c r="C60" s="384">
        <f>+'P4'!$R$65</f>
        <v>0</v>
      </c>
      <c r="D60" s="386">
        <f t="shared" si="2"/>
        <v>0.66666666666666663</v>
      </c>
      <c r="E60" s="378">
        <f t="shared" si="3"/>
        <v>2</v>
      </c>
    </row>
    <row r="61" spans="1:5" x14ac:dyDescent="0.3">
      <c r="A61" s="385">
        <f t="shared" si="1"/>
        <v>42789</v>
      </c>
      <c r="B61" s="380">
        <v>53</v>
      </c>
      <c r="C61" s="384">
        <f>+'P4'!$S$65</f>
        <v>0</v>
      </c>
      <c r="D61" s="386">
        <f t="shared" si="2"/>
        <v>0.66666666666666663</v>
      </c>
      <c r="E61" s="378">
        <f t="shared" si="3"/>
        <v>2</v>
      </c>
    </row>
    <row r="62" spans="1:5" ht="15.75" thickBot="1" x14ac:dyDescent="0.35">
      <c r="A62" s="385">
        <f t="shared" si="1"/>
        <v>42790</v>
      </c>
      <c r="B62" s="379">
        <v>54</v>
      </c>
      <c r="C62" s="384">
        <f>+'P4'!$T$65</f>
        <v>0</v>
      </c>
      <c r="D62" s="386">
        <f t="shared" si="2"/>
        <v>0.66666666666666663</v>
      </c>
      <c r="E62" s="378">
        <f t="shared" si="3"/>
        <v>2</v>
      </c>
    </row>
    <row r="63" spans="1:5" ht="15.75" thickBot="1" x14ac:dyDescent="0.35">
      <c r="A63" s="385">
        <f t="shared" si="1"/>
        <v>42791</v>
      </c>
      <c r="B63" s="379">
        <v>55</v>
      </c>
      <c r="C63" s="384">
        <f>+'P4'!$U$65</f>
        <v>0</v>
      </c>
      <c r="D63" s="386">
        <f t="shared" si="2"/>
        <v>0.66666666666666663</v>
      </c>
      <c r="E63" s="378">
        <f t="shared" si="3"/>
        <v>2</v>
      </c>
    </row>
    <row r="64" spans="1:5" x14ac:dyDescent="0.3">
      <c r="A64" s="385">
        <f t="shared" si="1"/>
        <v>42792</v>
      </c>
      <c r="B64" s="380">
        <v>56</v>
      </c>
      <c r="C64" s="384">
        <f>+'P4'!$V$65</f>
        <v>0</v>
      </c>
      <c r="D64" s="386">
        <f t="shared" si="2"/>
        <v>0.66666666666666663</v>
      </c>
      <c r="E64" s="378">
        <f t="shared" si="3"/>
        <v>2</v>
      </c>
    </row>
    <row r="65" spans="1:5" ht="15.75" thickBot="1" x14ac:dyDescent="0.35">
      <c r="A65" s="385">
        <f t="shared" si="1"/>
        <v>42793</v>
      </c>
      <c r="B65" s="379">
        <v>57</v>
      </c>
      <c r="C65" s="384">
        <f>+'P5'!$G$65</f>
        <v>0</v>
      </c>
      <c r="D65" s="386">
        <f t="shared" si="2"/>
        <v>0.66666666666666663</v>
      </c>
      <c r="E65" s="378">
        <f t="shared" si="3"/>
        <v>2</v>
      </c>
    </row>
    <row r="66" spans="1:5" ht="15.75" thickBot="1" x14ac:dyDescent="0.35">
      <c r="A66" s="385">
        <f t="shared" si="1"/>
        <v>42794</v>
      </c>
      <c r="B66" s="379">
        <v>58</v>
      </c>
      <c r="C66" s="384">
        <f>+'P5'!$H$65</f>
        <v>0</v>
      </c>
      <c r="D66" s="386">
        <f t="shared" si="2"/>
        <v>0.66666666666666663</v>
      </c>
      <c r="E66" s="378">
        <f t="shared" si="3"/>
        <v>2</v>
      </c>
    </row>
    <row r="67" spans="1:5" x14ac:dyDescent="0.3">
      <c r="A67" s="385">
        <f t="shared" si="1"/>
        <v>42795</v>
      </c>
      <c r="B67" s="380">
        <v>59</v>
      </c>
      <c r="C67" s="384">
        <f>+'P5'!$I$65</f>
        <v>0</v>
      </c>
      <c r="D67" s="386">
        <f t="shared" si="2"/>
        <v>0.66666666666666663</v>
      </c>
      <c r="E67" s="378">
        <f t="shared" si="3"/>
        <v>2</v>
      </c>
    </row>
    <row r="68" spans="1:5" ht="15.75" thickBot="1" x14ac:dyDescent="0.35">
      <c r="A68" s="385">
        <f t="shared" si="1"/>
        <v>42796</v>
      </c>
      <c r="B68" s="379">
        <v>60</v>
      </c>
      <c r="C68" s="384">
        <f>+'P5'!$J$65</f>
        <v>0</v>
      </c>
      <c r="D68" s="386">
        <f t="shared" si="2"/>
        <v>0.66666666666666663</v>
      </c>
      <c r="E68" s="378">
        <f t="shared" si="3"/>
        <v>2</v>
      </c>
    </row>
    <row r="69" spans="1:5" ht="15.75" thickBot="1" x14ac:dyDescent="0.35">
      <c r="A69" s="385">
        <f t="shared" si="1"/>
        <v>42797</v>
      </c>
      <c r="B69" s="379">
        <v>61</v>
      </c>
      <c r="C69" s="384">
        <f>+'P5'!$K$65</f>
        <v>0</v>
      </c>
      <c r="D69" s="386">
        <f t="shared" si="2"/>
        <v>0.66666666666666663</v>
      </c>
      <c r="E69" s="378">
        <f t="shared" si="3"/>
        <v>2</v>
      </c>
    </row>
    <row r="70" spans="1:5" x14ac:dyDescent="0.3">
      <c r="A70" s="385">
        <f t="shared" si="1"/>
        <v>42798</v>
      </c>
      <c r="B70" s="380">
        <v>62</v>
      </c>
      <c r="C70" s="384">
        <f>+'P5'!$L$65</f>
        <v>0</v>
      </c>
      <c r="D70" s="386">
        <f t="shared" si="2"/>
        <v>0.66666666666666663</v>
      </c>
      <c r="E70" s="378">
        <f t="shared" si="3"/>
        <v>2</v>
      </c>
    </row>
    <row r="71" spans="1:5" ht="15.75" thickBot="1" x14ac:dyDescent="0.35">
      <c r="A71" s="385">
        <f t="shared" si="1"/>
        <v>42799</v>
      </c>
      <c r="B71" s="379">
        <v>63</v>
      </c>
      <c r="C71" s="384">
        <f>+'P5'!$M$65</f>
        <v>0</v>
      </c>
      <c r="D71" s="386">
        <f t="shared" si="2"/>
        <v>0.66666666666666663</v>
      </c>
      <c r="E71" s="378">
        <f t="shared" si="3"/>
        <v>2</v>
      </c>
    </row>
    <row r="72" spans="1:5" ht="15.75" thickBot="1" x14ac:dyDescent="0.35">
      <c r="A72" s="385">
        <f t="shared" si="1"/>
        <v>42800</v>
      </c>
      <c r="B72" s="379">
        <v>64</v>
      </c>
      <c r="C72" s="384">
        <f>+'P5'!$P$65</f>
        <v>0</v>
      </c>
      <c r="D72" s="386">
        <f t="shared" si="2"/>
        <v>0.66666666666666663</v>
      </c>
      <c r="E72" s="378">
        <f t="shared" si="3"/>
        <v>2</v>
      </c>
    </row>
    <row r="73" spans="1:5" x14ac:dyDescent="0.3">
      <c r="A73" s="385">
        <f t="shared" si="1"/>
        <v>42801</v>
      </c>
      <c r="B73" s="380">
        <v>65</v>
      </c>
      <c r="C73" s="384">
        <f>+'P5'!$Q$65</f>
        <v>0</v>
      </c>
      <c r="D73" s="386">
        <f t="shared" si="2"/>
        <v>0.66666666666666663</v>
      </c>
      <c r="E73" s="378">
        <f t="shared" si="3"/>
        <v>2</v>
      </c>
    </row>
    <row r="74" spans="1:5" ht="15.75" thickBot="1" x14ac:dyDescent="0.35">
      <c r="A74" s="385">
        <f t="shared" si="1"/>
        <v>42802</v>
      </c>
      <c r="B74" s="379">
        <v>66</v>
      </c>
      <c r="C74" s="384">
        <f>+'P5'!$R$65</f>
        <v>0</v>
      </c>
      <c r="D74" s="386">
        <f t="shared" si="2"/>
        <v>0.66666666666666663</v>
      </c>
      <c r="E74" s="378">
        <f t="shared" si="3"/>
        <v>2</v>
      </c>
    </row>
    <row r="75" spans="1:5" ht="15.75" thickBot="1" x14ac:dyDescent="0.35">
      <c r="A75" s="385">
        <f t="shared" ref="A75:A138" si="4">+A74+1</f>
        <v>42803</v>
      </c>
      <c r="B75" s="379">
        <v>67</v>
      </c>
      <c r="C75" s="384">
        <f>+'P5'!$S$65</f>
        <v>0</v>
      </c>
      <c r="D75" s="386">
        <f t="shared" ref="D75:D138" si="5">+C75+D74</f>
        <v>0.66666666666666663</v>
      </c>
      <c r="E75" s="378">
        <f t="shared" si="3"/>
        <v>2</v>
      </c>
    </row>
    <row r="76" spans="1:5" x14ac:dyDescent="0.3">
      <c r="A76" s="385">
        <f t="shared" si="4"/>
        <v>42804</v>
      </c>
      <c r="B76" s="380">
        <v>68</v>
      </c>
      <c r="C76" s="384">
        <f>+'P5'!$T$65</f>
        <v>0</v>
      </c>
      <c r="D76" s="386">
        <f t="shared" si="5"/>
        <v>0.66666666666666663</v>
      </c>
      <c r="E76" s="378">
        <f t="shared" si="3"/>
        <v>2</v>
      </c>
    </row>
    <row r="77" spans="1:5" ht="15.75" thickBot="1" x14ac:dyDescent="0.35">
      <c r="A77" s="385">
        <f t="shared" si="4"/>
        <v>42805</v>
      </c>
      <c r="B77" s="379">
        <v>69</v>
      </c>
      <c r="C77" s="384">
        <f>+'P5'!$U$65</f>
        <v>0</v>
      </c>
      <c r="D77" s="386">
        <f t="shared" si="5"/>
        <v>0.66666666666666663</v>
      </c>
      <c r="E77" s="378">
        <f t="shared" si="3"/>
        <v>2</v>
      </c>
    </row>
    <row r="78" spans="1:5" ht="15.75" thickBot="1" x14ac:dyDescent="0.35">
      <c r="A78" s="385">
        <f t="shared" si="4"/>
        <v>42806</v>
      </c>
      <c r="B78" s="379">
        <v>70</v>
      </c>
      <c r="C78" s="384">
        <f>+'P5'!$V$65</f>
        <v>0</v>
      </c>
      <c r="D78" s="386">
        <f t="shared" si="5"/>
        <v>0.66666666666666663</v>
      </c>
      <c r="E78" s="378">
        <f t="shared" si="3"/>
        <v>2</v>
      </c>
    </row>
    <row r="79" spans="1:5" x14ac:dyDescent="0.3">
      <c r="A79" s="385">
        <f t="shared" si="4"/>
        <v>42807</v>
      </c>
      <c r="B79" s="380">
        <v>71</v>
      </c>
      <c r="C79" s="384">
        <f>+'P6'!$G$65</f>
        <v>0</v>
      </c>
      <c r="D79" s="386">
        <f t="shared" si="5"/>
        <v>0.66666666666666663</v>
      </c>
      <c r="E79" s="378">
        <f t="shared" si="3"/>
        <v>2</v>
      </c>
    </row>
    <row r="80" spans="1:5" ht="15.75" thickBot="1" x14ac:dyDescent="0.35">
      <c r="A80" s="385">
        <f t="shared" si="4"/>
        <v>42808</v>
      </c>
      <c r="B80" s="379">
        <v>72</v>
      </c>
      <c r="C80" s="384">
        <f>+'P6'!$H$65</f>
        <v>0</v>
      </c>
      <c r="D80" s="386">
        <f t="shared" si="5"/>
        <v>0.66666666666666663</v>
      </c>
      <c r="E80" s="378">
        <f t="shared" si="3"/>
        <v>2</v>
      </c>
    </row>
    <row r="81" spans="1:5" ht="15.75" thickBot="1" x14ac:dyDescent="0.35">
      <c r="A81" s="385">
        <f t="shared" si="4"/>
        <v>42809</v>
      </c>
      <c r="B81" s="379">
        <v>73</v>
      </c>
      <c r="C81" s="384">
        <f>+'P6'!$I$65</f>
        <v>0</v>
      </c>
      <c r="D81" s="386">
        <f t="shared" si="5"/>
        <v>0.66666666666666663</v>
      </c>
      <c r="E81" s="378">
        <f t="shared" si="3"/>
        <v>2</v>
      </c>
    </row>
    <row r="82" spans="1:5" x14ac:dyDescent="0.3">
      <c r="A82" s="385">
        <f t="shared" si="4"/>
        <v>42810</v>
      </c>
      <c r="B82" s="380">
        <v>74</v>
      </c>
      <c r="C82" s="384">
        <f>+'P6'!$J$65</f>
        <v>0</v>
      </c>
      <c r="D82" s="386">
        <f t="shared" si="5"/>
        <v>0.66666666666666663</v>
      </c>
      <c r="E82" s="378">
        <f t="shared" si="3"/>
        <v>2</v>
      </c>
    </row>
    <row r="83" spans="1:5" ht="15.75" thickBot="1" x14ac:dyDescent="0.35">
      <c r="A83" s="385">
        <f t="shared" si="4"/>
        <v>42811</v>
      </c>
      <c r="B83" s="379">
        <v>75</v>
      </c>
      <c r="C83" s="384">
        <f>+'P6'!$K$65</f>
        <v>0</v>
      </c>
      <c r="D83" s="386">
        <f t="shared" si="5"/>
        <v>0.66666666666666663</v>
      </c>
      <c r="E83" s="378">
        <f t="shared" si="3"/>
        <v>2</v>
      </c>
    </row>
    <row r="84" spans="1:5" ht="15.75" thickBot="1" x14ac:dyDescent="0.35">
      <c r="A84" s="385">
        <f t="shared" si="4"/>
        <v>42812</v>
      </c>
      <c r="B84" s="379">
        <v>76</v>
      </c>
      <c r="C84" s="384">
        <f>+'P6'!$L$65</f>
        <v>0</v>
      </c>
      <c r="D84" s="386">
        <f t="shared" si="5"/>
        <v>0.66666666666666663</v>
      </c>
      <c r="E84" s="378">
        <f t="shared" si="3"/>
        <v>2</v>
      </c>
    </row>
    <row r="85" spans="1:5" x14ac:dyDescent="0.3">
      <c r="A85" s="385">
        <f t="shared" si="4"/>
        <v>42813</v>
      </c>
      <c r="B85" s="380">
        <v>77</v>
      </c>
      <c r="C85" s="384">
        <f>+'P6'!$M$65</f>
        <v>0</v>
      </c>
      <c r="D85" s="386">
        <f t="shared" si="5"/>
        <v>0.66666666666666663</v>
      </c>
      <c r="E85" s="378">
        <f t="shared" si="3"/>
        <v>2</v>
      </c>
    </row>
    <row r="86" spans="1:5" ht="15.75" thickBot="1" x14ac:dyDescent="0.35">
      <c r="A86" s="385">
        <f t="shared" si="4"/>
        <v>42814</v>
      </c>
      <c r="B86" s="379">
        <v>78</v>
      </c>
      <c r="C86" s="384">
        <f>+'P6'!$P$65</f>
        <v>0</v>
      </c>
      <c r="D86" s="386">
        <f t="shared" si="5"/>
        <v>0.66666666666666663</v>
      </c>
      <c r="E86" s="378">
        <f t="shared" si="3"/>
        <v>2</v>
      </c>
    </row>
    <row r="87" spans="1:5" ht="15.75" thickBot="1" x14ac:dyDescent="0.35">
      <c r="A87" s="385">
        <f t="shared" si="4"/>
        <v>42815</v>
      </c>
      <c r="B87" s="379">
        <v>79</v>
      </c>
      <c r="C87" s="384">
        <f>+'P6'!$Q$65</f>
        <v>0</v>
      </c>
      <c r="D87" s="386">
        <f t="shared" si="5"/>
        <v>0.66666666666666663</v>
      </c>
      <c r="E87" s="378">
        <f t="shared" si="3"/>
        <v>2</v>
      </c>
    </row>
    <row r="88" spans="1:5" x14ac:dyDescent="0.3">
      <c r="A88" s="385">
        <f t="shared" si="4"/>
        <v>42816</v>
      </c>
      <c r="B88" s="380">
        <v>80</v>
      </c>
      <c r="C88" s="384">
        <f>+'P6'!$R$65</f>
        <v>0</v>
      </c>
      <c r="D88" s="386">
        <f t="shared" si="5"/>
        <v>0.66666666666666663</v>
      </c>
      <c r="E88" s="378">
        <f t="shared" si="3"/>
        <v>2</v>
      </c>
    </row>
    <row r="89" spans="1:5" ht="15.75" thickBot="1" x14ac:dyDescent="0.35">
      <c r="A89" s="385">
        <f t="shared" si="4"/>
        <v>42817</v>
      </c>
      <c r="B89" s="379">
        <v>81</v>
      </c>
      <c r="C89" s="384">
        <f>+'P6'!$S$65</f>
        <v>0</v>
      </c>
      <c r="D89" s="386">
        <f t="shared" si="5"/>
        <v>0.66666666666666663</v>
      </c>
      <c r="E89" s="378">
        <f t="shared" si="3"/>
        <v>2</v>
      </c>
    </row>
    <row r="90" spans="1:5" ht="15.75" thickBot="1" x14ac:dyDescent="0.35">
      <c r="A90" s="385">
        <f t="shared" si="4"/>
        <v>42818</v>
      </c>
      <c r="B90" s="379">
        <v>82</v>
      </c>
      <c r="C90" s="384">
        <f>+'P6'!$T$65</f>
        <v>0</v>
      </c>
      <c r="D90" s="386">
        <f t="shared" si="5"/>
        <v>0.66666666666666663</v>
      </c>
      <c r="E90" s="378">
        <f t="shared" si="3"/>
        <v>2</v>
      </c>
    </row>
    <row r="91" spans="1:5" x14ac:dyDescent="0.3">
      <c r="A91" s="385">
        <f t="shared" si="4"/>
        <v>42819</v>
      </c>
      <c r="B91" s="380">
        <v>83</v>
      </c>
      <c r="C91" s="384">
        <f>+'P6'!$U$65</f>
        <v>0</v>
      </c>
      <c r="D91" s="386">
        <f t="shared" si="5"/>
        <v>0.66666666666666663</v>
      </c>
      <c r="E91" s="378">
        <f t="shared" si="3"/>
        <v>2</v>
      </c>
    </row>
    <row r="92" spans="1:5" ht="15.75" thickBot="1" x14ac:dyDescent="0.35">
      <c r="A92" s="385">
        <f t="shared" si="4"/>
        <v>42820</v>
      </c>
      <c r="B92" s="379">
        <v>84</v>
      </c>
      <c r="C92" s="384">
        <f>+'P6'!$V$65</f>
        <v>0</v>
      </c>
      <c r="D92" s="386">
        <f t="shared" si="5"/>
        <v>0.66666666666666663</v>
      </c>
      <c r="E92" s="378">
        <f t="shared" si="3"/>
        <v>2</v>
      </c>
    </row>
    <row r="93" spans="1:5" ht="15.75" thickBot="1" x14ac:dyDescent="0.35">
      <c r="A93" s="385">
        <f t="shared" si="4"/>
        <v>42821</v>
      </c>
      <c r="B93" s="379">
        <v>85</v>
      </c>
      <c r="C93" s="384">
        <f>+'P7'!$G$65</f>
        <v>0</v>
      </c>
      <c r="D93" s="386">
        <f t="shared" si="5"/>
        <v>0.66666666666666663</v>
      </c>
      <c r="E93" s="378">
        <f t="shared" si="3"/>
        <v>2</v>
      </c>
    </row>
    <row r="94" spans="1:5" x14ac:dyDescent="0.3">
      <c r="A94" s="385">
        <f t="shared" si="4"/>
        <v>42822</v>
      </c>
      <c r="B94" s="380">
        <v>86</v>
      </c>
      <c r="C94" s="384">
        <f>+'P7'!$H$65</f>
        <v>0</v>
      </c>
      <c r="D94" s="386">
        <f t="shared" si="5"/>
        <v>0.66666666666666663</v>
      </c>
      <c r="E94" s="378">
        <f t="shared" si="3"/>
        <v>2</v>
      </c>
    </row>
    <row r="95" spans="1:5" ht="15.75" thickBot="1" x14ac:dyDescent="0.35">
      <c r="A95" s="385">
        <f t="shared" si="4"/>
        <v>42823</v>
      </c>
      <c r="B95" s="379">
        <v>87</v>
      </c>
      <c r="C95" s="384">
        <f>+'P7'!$I$65</f>
        <v>0</v>
      </c>
      <c r="D95" s="386">
        <f t="shared" si="5"/>
        <v>0.66666666666666663</v>
      </c>
      <c r="E95" s="378">
        <f t="shared" si="3"/>
        <v>2</v>
      </c>
    </row>
    <row r="96" spans="1:5" ht="15.75" thickBot="1" x14ac:dyDescent="0.35">
      <c r="A96" s="385">
        <f t="shared" si="4"/>
        <v>42824</v>
      </c>
      <c r="B96" s="379">
        <v>88</v>
      </c>
      <c r="C96" s="384">
        <f>+'P7'!$J$65</f>
        <v>0</v>
      </c>
      <c r="D96" s="386">
        <f t="shared" si="5"/>
        <v>0.66666666666666663</v>
      </c>
      <c r="E96" s="378">
        <f t="shared" si="3"/>
        <v>2</v>
      </c>
    </row>
    <row r="97" spans="1:5" x14ac:dyDescent="0.3">
      <c r="A97" s="385">
        <f t="shared" si="4"/>
        <v>42825</v>
      </c>
      <c r="B97" s="380">
        <v>89</v>
      </c>
      <c r="C97" s="384">
        <f>+'P7'!$K$65</f>
        <v>0</v>
      </c>
      <c r="D97" s="386">
        <f t="shared" si="5"/>
        <v>0.66666666666666663</v>
      </c>
      <c r="E97" s="378">
        <f t="shared" si="3"/>
        <v>2</v>
      </c>
    </row>
    <row r="98" spans="1:5" ht="15.75" thickBot="1" x14ac:dyDescent="0.35">
      <c r="A98" s="385">
        <f t="shared" si="4"/>
        <v>42826</v>
      </c>
      <c r="B98" s="379">
        <v>90</v>
      </c>
      <c r="C98" s="384">
        <f>+'P7'!$L$65</f>
        <v>0</v>
      </c>
      <c r="D98" s="386">
        <f t="shared" si="5"/>
        <v>0.66666666666666663</v>
      </c>
      <c r="E98" s="378">
        <f t="shared" si="3"/>
        <v>2</v>
      </c>
    </row>
    <row r="99" spans="1:5" ht="15.75" thickBot="1" x14ac:dyDescent="0.35">
      <c r="A99" s="385">
        <f t="shared" si="4"/>
        <v>42827</v>
      </c>
      <c r="B99" s="379">
        <v>91</v>
      </c>
      <c r="C99" s="384">
        <f>+'P7'!$M$65</f>
        <v>0</v>
      </c>
      <c r="D99" s="386">
        <f t="shared" si="5"/>
        <v>0.66666666666666663</v>
      </c>
      <c r="E99" s="378">
        <f t="shared" si="3"/>
        <v>2</v>
      </c>
    </row>
    <row r="100" spans="1:5" x14ac:dyDescent="0.3">
      <c r="A100" s="385">
        <f t="shared" si="4"/>
        <v>42828</v>
      </c>
      <c r="B100" s="380">
        <v>92</v>
      </c>
      <c r="C100" s="384">
        <f>+'P7'!$P$65</f>
        <v>0</v>
      </c>
      <c r="D100" s="386">
        <f t="shared" si="5"/>
        <v>0.66666666666666663</v>
      </c>
      <c r="E100" s="378">
        <f t="shared" si="3"/>
        <v>2</v>
      </c>
    </row>
    <row r="101" spans="1:5" ht="15.75" thickBot="1" x14ac:dyDescent="0.35">
      <c r="A101" s="385">
        <f t="shared" si="4"/>
        <v>42829</v>
      </c>
      <c r="B101" s="379">
        <v>93</v>
      </c>
      <c r="C101" s="384">
        <f>+'P7'!$Q$65</f>
        <v>0</v>
      </c>
      <c r="D101" s="386">
        <f t="shared" si="5"/>
        <v>0.66666666666666663</v>
      </c>
      <c r="E101" s="378">
        <f t="shared" ref="E101:E164" si="6">IF(C101&gt;0,E100+1,E100)</f>
        <v>2</v>
      </c>
    </row>
    <row r="102" spans="1:5" ht="15.75" thickBot="1" x14ac:dyDescent="0.35">
      <c r="A102" s="385">
        <f t="shared" si="4"/>
        <v>42830</v>
      </c>
      <c r="B102" s="379">
        <v>94</v>
      </c>
      <c r="C102" s="384">
        <f>+'P7'!$R$65</f>
        <v>0</v>
      </c>
      <c r="D102" s="386">
        <f t="shared" si="5"/>
        <v>0.66666666666666663</v>
      </c>
      <c r="E102" s="378">
        <f t="shared" si="6"/>
        <v>2</v>
      </c>
    </row>
    <row r="103" spans="1:5" x14ac:dyDescent="0.3">
      <c r="A103" s="385">
        <f t="shared" si="4"/>
        <v>42831</v>
      </c>
      <c r="B103" s="380">
        <v>95</v>
      </c>
      <c r="C103" s="384">
        <f>+'P7'!$S$65</f>
        <v>0</v>
      </c>
      <c r="D103" s="386">
        <f t="shared" si="5"/>
        <v>0.66666666666666663</v>
      </c>
      <c r="E103" s="378">
        <f t="shared" si="6"/>
        <v>2</v>
      </c>
    </row>
    <row r="104" spans="1:5" ht="15.75" thickBot="1" x14ac:dyDescent="0.35">
      <c r="A104" s="385">
        <f t="shared" si="4"/>
        <v>42832</v>
      </c>
      <c r="B104" s="379">
        <v>96</v>
      </c>
      <c r="C104" s="384">
        <f>+'P7'!$T$65</f>
        <v>0</v>
      </c>
      <c r="D104" s="386">
        <f t="shared" si="5"/>
        <v>0.66666666666666663</v>
      </c>
      <c r="E104" s="378">
        <f t="shared" si="6"/>
        <v>2</v>
      </c>
    </row>
    <row r="105" spans="1:5" ht="15.75" thickBot="1" x14ac:dyDescent="0.35">
      <c r="A105" s="385">
        <f t="shared" si="4"/>
        <v>42833</v>
      </c>
      <c r="B105" s="379">
        <v>97</v>
      </c>
      <c r="C105" s="384">
        <f>+'P7'!$U$65</f>
        <v>0</v>
      </c>
      <c r="D105" s="386">
        <f t="shared" si="5"/>
        <v>0.66666666666666663</v>
      </c>
      <c r="E105" s="378">
        <f t="shared" si="6"/>
        <v>2</v>
      </c>
    </row>
    <row r="106" spans="1:5" x14ac:dyDescent="0.3">
      <c r="A106" s="385">
        <f t="shared" si="4"/>
        <v>42834</v>
      </c>
      <c r="B106" s="380">
        <v>98</v>
      </c>
      <c r="C106" s="384">
        <f>+'P7'!$V$65</f>
        <v>0</v>
      </c>
      <c r="D106" s="386">
        <f t="shared" si="5"/>
        <v>0.66666666666666663</v>
      </c>
      <c r="E106" s="378">
        <f t="shared" si="6"/>
        <v>2</v>
      </c>
    </row>
    <row r="107" spans="1:5" ht="15.75" thickBot="1" x14ac:dyDescent="0.35">
      <c r="A107" s="385">
        <f t="shared" si="4"/>
        <v>42835</v>
      </c>
      <c r="B107" s="379">
        <v>99</v>
      </c>
      <c r="C107" s="384">
        <f>+'P8'!$G$65</f>
        <v>0</v>
      </c>
      <c r="D107" s="386">
        <f t="shared" si="5"/>
        <v>0.66666666666666663</v>
      </c>
      <c r="E107" s="378">
        <f t="shared" si="6"/>
        <v>2</v>
      </c>
    </row>
    <row r="108" spans="1:5" ht="15.75" thickBot="1" x14ac:dyDescent="0.35">
      <c r="A108" s="385">
        <f t="shared" si="4"/>
        <v>42836</v>
      </c>
      <c r="B108" s="379">
        <v>100</v>
      </c>
      <c r="C108" s="384">
        <f>+'P8'!$H$65</f>
        <v>0</v>
      </c>
      <c r="D108" s="386">
        <f t="shared" si="5"/>
        <v>0.66666666666666663</v>
      </c>
      <c r="E108" s="378">
        <f t="shared" si="6"/>
        <v>2</v>
      </c>
    </row>
    <row r="109" spans="1:5" x14ac:dyDescent="0.3">
      <c r="A109" s="385">
        <f t="shared" si="4"/>
        <v>42837</v>
      </c>
      <c r="B109" s="380">
        <v>101</v>
      </c>
      <c r="C109" s="384">
        <f>+'P8'!$I$65</f>
        <v>0</v>
      </c>
      <c r="D109" s="386">
        <f t="shared" si="5"/>
        <v>0.66666666666666663</v>
      </c>
      <c r="E109" s="378">
        <f t="shared" si="6"/>
        <v>2</v>
      </c>
    </row>
    <row r="110" spans="1:5" ht="15.75" thickBot="1" x14ac:dyDescent="0.35">
      <c r="A110" s="385">
        <f t="shared" si="4"/>
        <v>42838</v>
      </c>
      <c r="B110" s="379">
        <v>102</v>
      </c>
      <c r="C110" s="384">
        <f>+'P8'!$J$65</f>
        <v>0</v>
      </c>
      <c r="D110" s="386">
        <f t="shared" si="5"/>
        <v>0.66666666666666663</v>
      </c>
      <c r="E110" s="378">
        <f t="shared" si="6"/>
        <v>2</v>
      </c>
    </row>
    <row r="111" spans="1:5" ht="15.75" thickBot="1" x14ac:dyDescent="0.35">
      <c r="A111" s="385">
        <f t="shared" si="4"/>
        <v>42839</v>
      </c>
      <c r="B111" s="379">
        <v>103</v>
      </c>
      <c r="C111" s="384">
        <f>+'P8'!$K$65</f>
        <v>0</v>
      </c>
      <c r="D111" s="386">
        <f t="shared" si="5"/>
        <v>0.66666666666666663</v>
      </c>
      <c r="E111" s="378">
        <f t="shared" si="6"/>
        <v>2</v>
      </c>
    </row>
    <row r="112" spans="1:5" x14ac:dyDescent="0.3">
      <c r="A112" s="385">
        <f t="shared" si="4"/>
        <v>42840</v>
      </c>
      <c r="B112" s="380">
        <v>104</v>
      </c>
      <c r="C112" s="384">
        <f>+'P8'!$L$65</f>
        <v>0</v>
      </c>
      <c r="D112" s="386">
        <f t="shared" si="5"/>
        <v>0.66666666666666663</v>
      </c>
      <c r="E112" s="378">
        <f t="shared" si="6"/>
        <v>2</v>
      </c>
    </row>
    <row r="113" spans="1:5" ht="15.75" thickBot="1" x14ac:dyDescent="0.35">
      <c r="A113" s="385">
        <f t="shared" si="4"/>
        <v>42841</v>
      </c>
      <c r="B113" s="379">
        <v>105</v>
      </c>
      <c r="C113" s="384">
        <f>+'P8'!$M$65</f>
        <v>0</v>
      </c>
      <c r="D113" s="386">
        <f t="shared" si="5"/>
        <v>0.66666666666666663</v>
      </c>
      <c r="E113" s="378">
        <f t="shared" si="6"/>
        <v>2</v>
      </c>
    </row>
    <row r="114" spans="1:5" ht="15.75" thickBot="1" x14ac:dyDescent="0.35">
      <c r="A114" s="385">
        <f t="shared" si="4"/>
        <v>42842</v>
      </c>
      <c r="B114" s="379">
        <v>106</v>
      </c>
      <c r="C114" s="384">
        <f>+'P8'!$P$65</f>
        <v>0</v>
      </c>
      <c r="D114" s="386">
        <f t="shared" si="5"/>
        <v>0.66666666666666663</v>
      </c>
      <c r="E114" s="378">
        <f t="shared" si="6"/>
        <v>2</v>
      </c>
    </row>
    <row r="115" spans="1:5" x14ac:dyDescent="0.3">
      <c r="A115" s="385">
        <f t="shared" si="4"/>
        <v>42843</v>
      </c>
      <c r="B115" s="380">
        <v>107</v>
      </c>
      <c r="C115" s="384">
        <f>+'P8'!$Q$65</f>
        <v>0</v>
      </c>
      <c r="D115" s="386">
        <f t="shared" si="5"/>
        <v>0.66666666666666663</v>
      </c>
      <c r="E115" s="378">
        <f t="shared" si="6"/>
        <v>2</v>
      </c>
    </row>
    <row r="116" spans="1:5" ht="15.75" thickBot="1" x14ac:dyDescent="0.35">
      <c r="A116" s="385">
        <f t="shared" si="4"/>
        <v>42844</v>
      </c>
      <c r="B116" s="379">
        <v>108</v>
      </c>
      <c r="C116" s="384">
        <f>+'P8'!$R$65</f>
        <v>0</v>
      </c>
      <c r="D116" s="386">
        <f t="shared" si="5"/>
        <v>0.66666666666666663</v>
      </c>
      <c r="E116" s="378">
        <f t="shared" si="6"/>
        <v>2</v>
      </c>
    </row>
    <row r="117" spans="1:5" ht="15.75" thickBot="1" x14ac:dyDescent="0.35">
      <c r="A117" s="385">
        <f t="shared" si="4"/>
        <v>42845</v>
      </c>
      <c r="B117" s="379">
        <v>109</v>
      </c>
      <c r="C117" s="384">
        <f>+'P8'!$S$65</f>
        <v>0</v>
      </c>
      <c r="D117" s="386">
        <f t="shared" si="5"/>
        <v>0.66666666666666663</v>
      </c>
      <c r="E117" s="378">
        <f t="shared" si="6"/>
        <v>2</v>
      </c>
    </row>
    <row r="118" spans="1:5" x14ac:dyDescent="0.3">
      <c r="A118" s="385">
        <f t="shared" si="4"/>
        <v>42846</v>
      </c>
      <c r="B118" s="380">
        <v>110</v>
      </c>
      <c r="C118" s="384">
        <f>+'P8'!$T$65</f>
        <v>0</v>
      </c>
      <c r="D118" s="386">
        <f t="shared" si="5"/>
        <v>0.66666666666666663</v>
      </c>
      <c r="E118" s="378">
        <f t="shared" si="6"/>
        <v>2</v>
      </c>
    </row>
    <row r="119" spans="1:5" ht="15.75" thickBot="1" x14ac:dyDescent="0.35">
      <c r="A119" s="385">
        <f t="shared" si="4"/>
        <v>42847</v>
      </c>
      <c r="B119" s="379">
        <v>111</v>
      </c>
      <c r="C119" s="384">
        <f>+'P8'!$U$65</f>
        <v>0</v>
      </c>
      <c r="D119" s="386">
        <f t="shared" si="5"/>
        <v>0.66666666666666663</v>
      </c>
      <c r="E119" s="378">
        <f t="shared" si="6"/>
        <v>2</v>
      </c>
    </row>
    <row r="120" spans="1:5" ht="15.75" thickBot="1" x14ac:dyDescent="0.35">
      <c r="A120" s="385">
        <f t="shared" si="4"/>
        <v>42848</v>
      </c>
      <c r="B120" s="379">
        <v>112</v>
      </c>
      <c r="C120" s="384">
        <f>+'P8'!$V$65</f>
        <v>0</v>
      </c>
      <c r="D120" s="386">
        <f t="shared" si="5"/>
        <v>0.66666666666666663</v>
      </c>
      <c r="E120" s="378">
        <f t="shared" si="6"/>
        <v>2</v>
      </c>
    </row>
    <row r="121" spans="1:5" x14ac:dyDescent="0.3">
      <c r="A121" s="385">
        <f t="shared" si="4"/>
        <v>42849</v>
      </c>
      <c r="B121" s="380">
        <v>113</v>
      </c>
      <c r="C121" s="384">
        <f>+'P9'!$G$65</f>
        <v>0</v>
      </c>
      <c r="D121" s="386">
        <f t="shared" si="5"/>
        <v>0.66666666666666663</v>
      </c>
      <c r="E121" s="378">
        <f t="shared" si="6"/>
        <v>2</v>
      </c>
    </row>
    <row r="122" spans="1:5" ht="15.75" thickBot="1" x14ac:dyDescent="0.35">
      <c r="A122" s="385">
        <f t="shared" si="4"/>
        <v>42850</v>
      </c>
      <c r="B122" s="379">
        <v>114</v>
      </c>
      <c r="C122" s="384">
        <f>+'P9'!$H$65</f>
        <v>0</v>
      </c>
      <c r="D122" s="386">
        <f t="shared" si="5"/>
        <v>0.66666666666666663</v>
      </c>
      <c r="E122" s="378">
        <f t="shared" si="6"/>
        <v>2</v>
      </c>
    </row>
    <row r="123" spans="1:5" ht="15.75" thickBot="1" x14ac:dyDescent="0.35">
      <c r="A123" s="385">
        <f t="shared" si="4"/>
        <v>42851</v>
      </c>
      <c r="B123" s="379">
        <v>115</v>
      </c>
      <c r="C123" s="384">
        <f>+'P9'!$I$65</f>
        <v>0</v>
      </c>
      <c r="D123" s="386">
        <f t="shared" si="5"/>
        <v>0.66666666666666663</v>
      </c>
      <c r="E123" s="378">
        <f t="shared" si="6"/>
        <v>2</v>
      </c>
    </row>
    <row r="124" spans="1:5" x14ac:dyDescent="0.3">
      <c r="A124" s="385">
        <f t="shared" si="4"/>
        <v>42852</v>
      </c>
      <c r="B124" s="380">
        <v>116</v>
      </c>
      <c r="C124" s="384">
        <f>+'P9'!$J$65</f>
        <v>0</v>
      </c>
      <c r="D124" s="386">
        <f t="shared" si="5"/>
        <v>0.66666666666666663</v>
      </c>
      <c r="E124" s="378">
        <f t="shared" si="6"/>
        <v>2</v>
      </c>
    </row>
    <row r="125" spans="1:5" ht="15.75" thickBot="1" x14ac:dyDescent="0.35">
      <c r="A125" s="385">
        <f t="shared" si="4"/>
        <v>42853</v>
      </c>
      <c r="B125" s="379">
        <v>117</v>
      </c>
      <c r="C125" s="384">
        <f>+'P9'!$K$65</f>
        <v>0</v>
      </c>
      <c r="D125" s="386">
        <f t="shared" si="5"/>
        <v>0.66666666666666663</v>
      </c>
      <c r="E125" s="378">
        <f t="shared" si="6"/>
        <v>2</v>
      </c>
    </row>
    <row r="126" spans="1:5" ht="15.75" thickBot="1" x14ac:dyDescent="0.35">
      <c r="A126" s="385">
        <f t="shared" si="4"/>
        <v>42854</v>
      </c>
      <c r="B126" s="379">
        <v>118</v>
      </c>
      <c r="C126" s="384">
        <f>+'P9'!$L$65</f>
        <v>0</v>
      </c>
      <c r="D126" s="386">
        <f t="shared" si="5"/>
        <v>0.66666666666666663</v>
      </c>
      <c r="E126" s="378">
        <f t="shared" si="6"/>
        <v>2</v>
      </c>
    </row>
    <row r="127" spans="1:5" x14ac:dyDescent="0.3">
      <c r="A127" s="385">
        <f t="shared" si="4"/>
        <v>42855</v>
      </c>
      <c r="B127" s="380">
        <v>119</v>
      </c>
      <c r="C127" s="384">
        <f>+'P9'!$M$65</f>
        <v>0</v>
      </c>
      <c r="D127" s="386">
        <f t="shared" si="5"/>
        <v>0.66666666666666663</v>
      </c>
      <c r="E127" s="378">
        <f t="shared" si="6"/>
        <v>2</v>
      </c>
    </row>
    <row r="128" spans="1:5" ht="15.75" thickBot="1" x14ac:dyDescent="0.35">
      <c r="A128" s="385">
        <f t="shared" si="4"/>
        <v>42856</v>
      </c>
      <c r="B128" s="379">
        <v>120</v>
      </c>
      <c r="C128" s="384">
        <f>+'P9'!$P$65</f>
        <v>0</v>
      </c>
      <c r="D128" s="386">
        <f t="shared" si="5"/>
        <v>0.66666666666666663</v>
      </c>
      <c r="E128" s="378">
        <f t="shared" si="6"/>
        <v>2</v>
      </c>
    </row>
    <row r="129" spans="1:5" ht="15.75" thickBot="1" x14ac:dyDescent="0.35">
      <c r="A129" s="385">
        <f t="shared" si="4"/>
        <v>42857</v>
      </c>
      <c r="B129" s="379">
        <v>121</v>
      </c>
      <c r="C129" s="384">
        <f>+'P9'!$Q$65</f>
        <v>0</v>
      </c>
      <c r="D129" s="386">
        <f t="shared" si="5"/>
        <v>0.66666666666666663</v>
      </c>
      <c r="E129" s="378">
        <f t="shared" si="6"/>
        <v>2</v>
      </c>
    </row>
    <row r="130" spans="1:5" x14ac:dyDescent="0.3">
      <c r="A130" s="385">
        <f t="shared" si="4"/>
        <v>42858</v>
      </c>
      <c r="B130" s="380">
        <v>122</v>
      </c>
      <c r="C130" s="384">
        <f>+'P9'!$R$65</f>
        <v>0</v>
      </c>
      <c r="D130" s="386">
        <f t="shared" si="5"/>
        <v>0.66666666666666663</v>
      </c>
      <c r="E130" s="378">
        <f t="shared" si="6"/>
        <v>2</v>
      </c>
    </row>
    <row r="131" spans="1:5" ht="15.75" thickBot="1" x14ac:dyDescent="0.35">
      <c r="A131" s="385">
        <f t="shared" si="4"/>
        <v>42859</v>
      </c>
      <c r="B131" s="379">
        <v>123</v>
      </c>
      <c r="C131" s="384">
        <f>+'P9'!$S$65</f>
        <v>0</v>
      </c>
      <c r="D131" s="386">
        <f t="shared" si="5"/>
        <v>0.66666666666666663</v>
      </c>
      <c r="E131" s="378">
        <f t="shared" si="6"/>
        <v>2</v>
      </c>
    </row>
    <row r="132" spans="1:5" ht="15.75" thickBot="1" x14ac:dyDescent="0.35">
      <c r="A132" s="385">
        <f t="shared" si="4"/>
        <v>42860</v>
      </c>
      <c r="B132" s="379">
        <v>124</v>
      </c>
      <c r="C132" s="384">
        <f>+'P9'!$T$65</f>
        <v>0</v>
      </c>
      <c r="D132" s="386">
        <f t="shared" si="5"/>
        <v>0.66666666666666663</v>
      </c>
      <c r="E132" s="378">
        <f t="shared" si="6"/>
        <v>2</v>
      </c>
    </row>
    <row r="133" spans="1:5" x14ac:dyDescent="0.3">
      <c r="A133" s="385">
        <f t="shared" si="4"/>
        <v>42861</v>
      </c>
      <c r="B133" s="380">
        <v>125</v>
      </c>
      <c r="C133" s="384">
        <f>+'P9'!$U$65</f>
        <v>0</v>
      </c>
      <c r="D133" s="386">
        <f t="shared" si="5"/>
        <v>0.66666666666666663</v>
      </c>
      <c r="E133" s="378">
        <f t="shared" si="6"/>
        <v>2</v>
      </c>
    </row>
    <row r="134" spans="1:5" ht="15.75" thickBot="1" x14ac:dyDescent="0.35">
      <c r="A134" s="385">
        <f t="shared" si="4"/>
        <v>42862</v>
      </c>
      <c r="B134" s="379">
        <v>126</v>
      </c>
      <c r="C134" s="384">
        <f>+'P9'!$V$65</f>
        <v>0</v>
      </c>
      <c r="D134" s="386">
        <f t="shared" si="5"/>
        <v>0.66666666666666663</v>
      </c>
      <c r="E134" s="378">
        <f t="shared" si="6"/>
        <v>2</v>
      </c>
    </row>
    <row r="135" spans="1:5" ht="15.75" thickBot="1" x14ac:dyDescent="0.35">
      <c r="A135" s="385">
        <f t="shared" si="4"/>
        <v>42863</v>
      </c>
      <c r="B135" s="379">
        <v>127</v>
      </c>
      <c r="C135" s="384">
        <f>+'P10'!$G$65</f>
        <v>0</v>
      </c>
      <c r="D135" s="386">
        <f t="shared" si="5"/>
        <v>0.66666666666666663</v>
      </c>
      <c r="E135" s="378">
        <f t="shared" si="6"/>
        <v>2</v>
      </c>
    </row>
    <row r="136" spans="1:5" x14ac:dyDescent="0.3">
      <c r="A136" s="385">
        <f t="shared" si="4"/>
        <v>42864</v>
      </c>
      <c r="B136" s="380">
        <v>128</v>
      </c>
      <c r="C136" s="384">
        <f>+'P10'!$H$65</f>
        <v>0</v>
      </c>
      <c r="D136" s="386">
        <f t="shared" si="5"/>
        <v>0.66666666666666663</v>
      </c>
      <c r="E136" s="378">
        <f t="shared" si="6"/>
        <v>2</v>
      </c>
    </row>
    <row r="137" spans="1:5" ht="15.75" thickBot="1" x14ac:dyDescent="0.35">
      <c r="A137" s="385">
        <f t="shared" si="4"/>
        <v>42865</v>
      </c>
      <c r="B137" s="379">
        <v>129</v>
      </c>
      <c r="C137" s="384">
        <f>+'P10'!$I$65</f>
        <v>0</v>
      </c>
      <c r="D137" s="386">
        <f t="shared" si="5"/>
        <v>0.66666666666666663</v>
      </c>
      <c r="E137" s="378">
        <f t="shared" si="6"/>
        <v>2</v>
      </c>
    </row>
    <row r="138" spans="1:5" ht="15.75" thickBot="1" x14ac:dyDescent="0.35">
      <c r="A138" s="385">
        <f t="shared" si="4"/>
        <v>42866</v>
      </c>
      <c r="B138" s="379">
        <v>130</v>
      </c>
      <c r="C138" s="384">
        <f>+'P10'!$J$65</f>
        <v>0</v>
      </c>
      <c r="D138" s="386">
        <f t="shared" si="5"/>
        <v>0.66666666666666663</v>
      </c>
      <c r="E138" s="378">
        <f t="shared" si="6"/>
        <v>2</v>
      </c>
    </row>
    <row r="139" spans="1:5" x14ac:dyDescent="0.3">
      <c r="A139" s="385">
        <f t="shared" ref="A139:A202" si="7">+A138+1</f>
        <v>42867</v>
      </c>
      <c r="B139" s="380">
        <v>131</v>
      </c>
      <c r="C139" s="384">
        <f>+'P10'!$K$65</f>
        <v>0</v>
      </c>
      <c r="D139" s="386">
        <f t="shared" ref="D139:D202" si="8">+C139+D138</f>
        <v>0.66666666666666663</v>
      </c>
      <c r="E139" s="378">
        <f t="shared" si="6"/>
        <v>2</v>
      </c>
    </row>
    <row r="140" spans="1:5" ht="15.75" thickBot="1" x14ac:dyDescent="0.35">
      <c r="A140" s="385">
        <f t="shared" si="7"/>
        <v>42868</v>
      </c>
      <c r="B140" s="379">
        <v>132</v>
      </c>
      <c r="C140" s="384">
        <f>+'P10'!$L$65</f>
        <v>0</v>
      </c>
      <c r="D140" s="386">
        <f t="shared" si="8"/>
        <v>0.66666666666666663</v>
      </c>
      <c r="E140" s="378">
        <f t="shared" si="6"/>
        <v>2</v>
      </c>
    </row>
    <row r="141" spans="1:5" ht="15.75" thickBot="1" x14ac:dyDescent="0.35">
      <c r="A141" s="385">
        <f t="shared" si="7"/>
        <v>42869</v>
      </c>
      <c r="B141" s="379">
        <v>133</v>
      </c>
      <c r="C141" s="384">
        <f>+'P10'!$M$65</f>
        <v>0</v>
      </c>
      <c r="D141" s="386">
        <f t="shared" si="8"/>
        <v>0.66666666666666663</v>
      </c>
      <c r="E141" s="378">
        <f t="shared" si="6"/>
        <v>2</v>
      </c>
    </row>
    <row r="142" spans="1:5" x14ac:dyDescent="0.3">
      <c r="A142" s="385">
        <f t="shared" si="7"/>
        <v>42870</v>
      </c>
      <c r="B142" s="380">
        <v>134</v>
      </c>
      <c r="C142" s="384">
        <f>+'P10'!$P$65</f>
        <v>0</v>
      </c>
      <c r="D142" s="386">
        <f t="shared" si="8"/>
        <v>0.66666666666666663</v>
      </c>
      <c r="E142" s="378">
        <f t="shared" si="6"/>
        <v>2</v>
      </c>
    </row>
    <row r="143" spans="1:5" ht="15.75" thickBot="1" x14ac:dyDescent="0.35">
      <c r="A143" s="385">
        <f t="shared" si="7"/>
        <v>42871</v>
      </c>
      <c r="B143" s="379">
        <v>135</v>
      </c>
      <c r="C143" s="384">
        <f>+'P10'!$Q$65</f>
        <v>0</v>
      </c>
      <c r="D143" s="386">
        <f t="shared" si="8"/>
        <v>0.66666666666666663</v>
      </c>
      <c r="E143" s="378">
        <f t="shared" si="6"/>
        <v>2</v>
      </c>
    </row>
    <row r="144" spans="1:5" ht="15.75" thickBot="1" x14ac:dyDescent="0.35">
      <c r="A144" s="385">
        <f t="shared" si="7"/>
        <v>42872</v>
      </c>
      <c r="B144" s="379">
        <v>136</v>
      </c>
      <c r="C144" s="384">
        <f>+'P10'!$R$65</f>
        <v>0</v>
      </c>
      <c r="D144" s="386">
        <f t="shared" si="8"/>
        <v>0.66666666666666663</v>
      </c>
      <c r="E144" s="378">
        <f t="shared" si="6"/>
        <v>2</v>
      </c>
    </row>
    <row r="145" spans="1:5" x14ac:dyDescent="0.3">
      <c r="A145" s="385">
        <f t="shared" si="7"/>
        <v>42873</v>
      </c>
      <c r="B145" s="380">
        <v>137</v>
      </c>
      <c r="C145" s="384">
        <f>+'P10'!$S$65</f>
        <v>0</v>
      </c>
      <c r="D145" s="386">
        <f t="shared" si="8"/>
        <v>0.66666666666666663</v>
      </c>
      <c r="E145" s="378">
        <f t="shared" si="6"/>
        <v>2</v>
      </c>
    </row>
    <row r="146" spans="1:5" ht="15.75" thickBot="1" x14ac:dyDescent="0.35">
      <c r="A146" s="385">
        <f t="shared" si="7"/>
        <v>42874</v>
      </c>
      <c r="B146" s="379">
        <v>138</v>
      </c>
      <c r="C146" s="384">
        <f>+'P10'!$T$65</f>
        <v>0</v>
      </c>
      <c r="D146" s="386">
        <f t="shared" si="8"/>
        <v>0.66666666666666663</v>
      </c>
      <c r="E146" s="378">
        <f t="shared" si="6"/>
        <v>2</v>
      </c>
    </row>
    <row r="147" spans="1:5" ht="15.75" thickBot="1" x14ac:dyDescent="0.35">
      <c r="A147" s="385">
        <f t="shared" si="7"/>
        <v>42875</v>
      </c>
      <c r="B147" s="379">
        <v>139</v>
      </c>
      <c r="C147" s="384">
        <f>+'P10'!$U$65</f>
        <v>0</v>
      </c>
      <c r="D147" s="386">
        <f t="shared" si="8"/>
        <v>0.66666666666666663</v>
      </c>
      <c r="E147" s="378">
        <f t="shared" si="6"/>
        <v>2</v>
      </c>
    </row>
    <row r="148" spans="1:5" x14ac:dyDescent="0.3">
      <c r="A148" s="385">
        <f t="shared" si="7"/>
        <v>42876</v>
      </c>
      <c r="B148" s="380">
        <v>140</v>
      </c>
      <c r="C148" s="384">
        <f>+'P10'!$V$65</f>
        <v>0</v>
      </c>
      <c r="D148" s="386">
        <f t="shared" si="8"/>
        <v>0.66666666666666663</v>
      </c>
      <c r="E148" s="378">
        <f t="shared" si="6"/>
        <v>2</v>
      </c>
    </row>
    <row r="149" spans="1:5" ht="15.75" thickBot="1" x14ac:dyDescent="0.35">
      <c r="A149" s="385">
        <f t="shared" si="7"/>
        <v>42877</v>
      </c>
      <c r="B149" s="379">
        <v>141</v>
      </c>
      <c r="C149" s="384">
        <f>+'P11'!$G$65</f>
        <v>0</v>
      </c>
      <c r="D149" s="386">
        <f t="shared" si="8"/>
        <v>0.66666666666666663</v>
      </c>
      <c r="E149" s="378">
        <f t="shared" si="6"/>
        <v>2</v>
      </c>
    </row>
    <row r="150" spans="1:5" ht="15.75" thickBot="1" x14ac:dyDescent="0.35">
      <c r="A150" s="385">
        <f t="shared" si="7"/>
        <v>42878</v>
      </c>
      <c r="B150" s="379">
        <v>142</v>
      </c>
      <c r="C150" s="384">
        <f>+'P11'!$H$65</f>
        <v>0</v>
      </c>
      <c r="D150" s="386">
        <f t="shared" si="8"/>
        <v>0.66666666666666663</v>
      </c>
      <c r="E150" s="378">
        <f t="shared" si="6"/>
        <v>2</v>
      </c>
    </row>
    <row r="151" spans="1:5" x14ac:dyDescent="0.3">
      <c r="A151" s="385">
        <f t="shared" si="7"/>
        <v>42879</v>
      </c>
      <c r="B151" s="380">
        <v>143</v>
      </c>
      <c r="C151" s="384">
        <f>+'P11'!$I$65</f>
        <v>0</v>
      </c>
      <c r="D151" s="386">
        <f t="shared" si="8"/>
        <v>0.66666666666666663</v>
      </c>
      <c r="E151" s="378">
        <f t="shared" si="6"/>
        <v>2</v>
      </c>
    </row>
    <row r="152" spans="1:5" ht="15.75" thickBot="1" x14ac:dyDescent="0.35">
      <c r="A152" s="385">
        <f t="shared" si="7"/>
        <v>42880</v>
      </c>
      <c r="B152" s="379">
        <v>144</v>
      </c>
      <c r="C152" s="384">
        <f>+'P11'!$J$65</f>
        <v>0</v>
      </c>
      <c r="D152" s="386">
        <f t="shared" si="8"/>
        <v>0.66666666666666663</v>
      </c>
      <c r="E152" s="378">
        <f t="shared" si="6"/>
        <v>2</v>
      </c>
    </row>
    <row r="153" spans="1:5" ht="15.75" thickBot="1" x14ac:dyDescent="0.35">
      <c r="A153" s="385">
        <f t="shared" si="7"/>
        <v>42881</v>
      </c>
      <c r="B153" s="379">
        <v>145</v>
      </c>
      <c r="C153" s="384">
        <f>+'P11'!$K$65</f>
        <v>0</v>
      </c>
      <c r="D153" s="386">
        <f t="shared" si="8"/>
        <v>0.66666666666666663</v>
      </c>
      <c r="E153" s="378">
        <f t="shared" si="6"/>
        <v>2</v>
      </c>
    </row>
    <row r="154" spans="1:5" x14ac:dyDescent="0.3">
      <c r="A154" s="385">
        <f t="shared" si="7"/>
        <v>42882</v>
      </c>
      <c r="B154" s="380">
        <v>146</v>
      </c>
      <c r="C154" s="384">
        <f>+'P11'!$L$65</f>
        <v>0</v>
      </c>
      <c r="D154" s="386">
        <f t="shared" si="8"/>
        <v>0.66666666666666663</v>
      </c>
      <c r="E154" s="378">
        <f t="shared" si="6"/>
        <v>2</v>
      </c>
    </row>
    <row r="155" spans="1:5" ht="15.75" thickBot="1" x14ac:dyDescent="0.35">
      <c r="A155" s="385">
        <f t="shared" si="7"/>
        <v>42883</v>
      </c>
      <c r="B155" s="379">
        <v>147</v>
      </c>
      <c r="C155" s="384">
        <f>+'P11'!$M$65</f>
        <v>0</v>
      </c>
      <c r="D155" s="386">
        <f t="shared" si="8"/>
        <v>0.66666666666666663</v>
      </c>
      <c r="E155" s="378">
        <f t="shared" si="6"/>
        <v>2</v>
      </c>
    </row>
    <row r="156" spans="1:5" ht="15.75" thickBot="1" x14ac:dyDescent="0.35">
      <c r="A156" s="385">
        <f t="shared" si="7"/>
        <v>42884</v>
      </c>
      <c r="B156" s="379">
        <v>148</v>
      </c>
      <c r="C156" s="384">
        <f>+'P11'!$P$65</f>
        <v>0</v>
      </c>
      <c r="D156" s="386">
        <f t="shared" si="8"/>
        <v>0.66666666666666663</v>
      </c>
      <c r="E156" s="378">
        <f t="shared" si="6"/>
        <v>2</v>
      </c>
    </row>
    <row r="157" spans="1:5" x14ac:dyDescent="0.3">
      <c r="A157" s="385">
        <f t="shared" si="7"/>
        <v>42885</v>
      </c>
      <c r="B157" s="380">
        <v>149</v>
      </c>
      <c r="C157" s="384">
        <f>+'P11'!$Q$65</f>
        <v>0.33333333333333331</v>
      </c>
      <c r="D157" s="386">
        <f t="shared" si="8"/>
        <v>1</v>
      </c>
      <c r="E157" s="378">
        <f t="shared" si="6"/>
        <v>3</v>
      </c>
    </row>
    <row r="158" spans="1:5" ht="15.75" thickBot="1" x14ac:dyDescent="0.35">
      <c r="A158" s="385">
        <f t="shared" si="7"/>
        <v>42886</v>
      </c>
      <c r="B158" s="379">
        <v>150</v>
      </c>
      <c r="C158" s="384">
        <f>+'P11'!$R$65</f>
        <v>0</v>
      </c>
      <c r="D158" s="386">
        <f t="shared" si="8"/>
        <v>1</v>
      </c>
      <c r="E158" s="378">
        <f t="shared" si="6"/>
        <v>3</v>
      </c>
    </row>
    <row r="159" spans="1:5" ht="15.75" thickBot="1" x14ac:dyDescent="0.35">
      <c r="A159" s="385">
        <f t="shared" si="7"/>
        <v>42887</v>
      </c>
      <c r="B159" s="379">
        <v>151</v>
      </c>
      <c r="C159" s="384">
        <f>+'P11'!$S$65</f>
        <v>0</v>
      </c>
      <c r="D159" s="386">
        <f t="shared" si="8"/>
        <v>1</v>
      </c>
      <c r="E159" s="378">
        <f t="shared" si="6"/>
        <v>3</v>
      </c>
    </row>
    <row r="160" spans="1:5" x14ac:dyDescent="0.3">
      <c r="A160" s="385">
        <f t="shared" si="7"/>
        <v>42888</v>
      </c>
      <c r="B160" s="380">
        <v>152</v>
      </c>
      <c r="C160" s="384">
        <f>+'P11'!$T$65</f>
        <v>0</v>
      </c>
      <c r="D160" s="386">
        <f t="shared" si="8"/>
        <v>1</v>
      </c>
      <c r="E160" s="378">
        <f t="shared" si="6"/>
        <v>3</v>
      </c>
    </row>
    <row r="161" spans="1:5" ht="15.75" thickBot="1" x14ac:dyDescent="0.35">
      <c r="A161" s="385">
        <f t="shared" si="7"/>
        <v>42889</v>
      </c>
      <c r="B161" s="379">
        <v>153</v>
      </c>
      <c r="C161" s="384">
        <f>+'P11'!$U$65</f>
        <v>0</v>
      </c>
      <c r="D161" s="386">
        <f t="shared" si="8"/>
        <v>1</v>
      </c>
      <c r="E161" s="378">
        <f t="shared" si="6"/>
        <v>3</v>
      </c>
    </row>
    <row r="162" spans="1:5" ht="15.75" thickBot="1" x14ac:dyDescent="0.35">
      <c r="A162" s="385">
        <f t="shared" si="7"/>
        <v>42890</v>
      </c>
      <c r="B162" s="379">
        <v>154</v>
      </c>
      <c r="C162" s="384">
        <f>+'P11'!$V$65</f>
        <v>0</v>
      </c>
      <c r="D162" s="386">
        <f t="shared" si="8"/>
        <v>1</v>
      </c>
      <c r="E162" s="378">
        <f t="shared" si="6"/>
        <v>3</v>
      </c>
    </row>
    <row r="163" spans="1:5" x14ac:dyDescent="0.3">
      <c r="A163" s="385">
        <f t="shared" si="7"/>
        <v>42891</v>
      </c>
      <c r="B163" s="380">
        <v>155</v>
      </c>
      <c r="C163" s="384">
        <f>+'P12'!$G$65</f>
        <v>0</v>
      </c>
      <c r="D163" s="386">
        <f t="shared" si="8"/>
        <v>1</v>
      </c>
      <c r="E163" s="378">
        <f t="shared" si="6"/>
        <v>3</v>
      </c>
    </row>
    <row r="164" spans="1:5" ht="15.75" thickBot="1" x14ac:dyDescent="0.35">
      <c r="A164" s="385">
        <f t="shared" si="7"/>
        <v>42892</v>
      </c>
      <c r="B164" s="379">
        <v>156</v>
      </c>
      <c r="C164" s="384">
        <f>+'P12'!$H$65</f>
        <v>0</v>
      </c>
      <c r="D164" s="386">
        <f t="shared" si="8"/>
        <v>1</v>
      </c>
      <c r="E164" s="378">
        <f t="shared" si="6"/>
        <v>3</v>
      </c>
    </row>
    <row r="165" spans="1:5" ht="15.75" thickBot="1" x14ac:dyDescent="0.35">
      <c r="A165" s="385">
        <f t="shared" si="7"/>
        <v>42893</v>
      </c>
      <c r="B165" s="379">
        <v>157</v>
      </c>
      <c r="C165" s="384">
        <f>+'P12'!$I$65</f>
        <v>0</v>
      </c>
      <c r="D165" s="386">
        <f t="shared" si="8"/>
        <v>1</v>
      </c>
      <c r="E165" s="378">
        <f t="shared" ref="E165:E228" si="9">IF(C165&gt;0,E164+1,E164)</f>
        <v>3</v>
      </c>
    </row>
    <row r="166" spans="1:5" x14ac:dyDescent="0.3">
      <c r="A166" s="385">
        <f t="shared" si="7"/>
        <v>42894</v>
      </c>
      <c r="B166" s="380">
        <v>158</v>
      </c>
      <c r="C166" s="384">
        <f>+'P12'!$J$65</f>
        <v>0</v>
      </c>
      <c r="D166" s="386">
        <f t="shared" si="8"/>
        <v>1</v>
      </c>
      <c r="E166" s="378">
        <f t="shared" si="9"/>
        <v>3</v>
      </c>
    </row>
    <row r="167" spans="1:5" ht="15.75" thickBot="1" x14ac:dyDescent="0.35">
      <c r="A167" s="385">
        <f t="shared" si="7"/>
        <v>42895</v>
      </c>
      <c r="B167" s="379">
        <v>159</v>
      </c>
      <c r="C167" s="384">
        <f>+'P12'!$K$65</f>
        <v>0</v>
      </c>
      <c r="D167" s="386">
        <f t="shared" si="8"/>
        <v>1</v>
      </c>
      <c r="E167" s="378">
        <f t="shared" si="9"/>
        <v>3</v>
      </c>
    </row>
    <row r="168" spans="1:5" ht="15.75" thickBot="1" x14ac:dyDescent="0.35">
      <c r="A168" s="385">
        <f t="shared" si="7"/>
        <v>42896</v>
      </c>
      <c r="B168" s="379">
        <v>160</v>
      </c>
      <c r="C168" s="384">
        <f>+'P12'!$L$65</f>
        <v>0</v>
      </c>
      <c r="D168" s="386">
        <f t="shared" si="8"/>
        <v>1</v>
      </c>
      <c r="E168" s="378">
        <f t="shared" si="9"/>
        <v>3</v>
      </c>
    </row>
    <row r="169" spans="1:5" x14ac:dyDescent="0.3">
      <c r="A169" s="385">
        <f t="shared" si="7"/>
        <v>42897</v>
      </c>
      <c r="B169" s="380">
        <v>161</v>
      </c>
      <c r="C169" s="384">
        <f>+'P12'!$M$65</f>
        <v>0</v>
      </c>
      <c r="D169" s="386">
        <f t="shared" si="8"/>
        <v>1</v>
      </c>
      <c r="E169" s="378">
        <f t="shared" si="9"/>
        <v>3</v>
      </c>
    </row>
    <row r="170" spans="1:5" ht="15.75" thickBot="1" x14ac:dyDescent="0.35">
      <c r="A170" s="385">
        <f t="shared" si="7"/>
        <v>42898</v>
      </c>
      <c r="B170" s="379">
        <v>162</v>
      </c>
      <c r="C170" s="384">
        <f>+'P12'!$P$65</f>
        <v>0</v>
      </c>
      <c r="D170" s="386">
        <f t="shared" si="8"/>
        <v>1</v>
      </c>
      <c r="E170" s="378">
        <f t="shared" si="9"/>
        <v>3</v>
      </c>
    </row>
    <row r="171" spans="1:5" ht="15.75" thickBot="1" x14ac:dyDescent="0.35">
      <c r="A171" s="385">
        <f t="shared" si="7"/>
        <v>42899</v>
      </c>
      <c r="B171" s="379">
        <v>163</v>
      </c>
      <c r="C171" s="384">
        <f>+'P12'!$Q$65</f>
        <v>0</v>
      </c>
      <c r="D171" s="386">
        <f t="shared" si="8"/>
        <v>1</v>
      </c>
      <c r="E171" s="378">
        <f t="shared" si="9"/>
        <v>3</v>
      </c>
    </row>
    <row r="172" spans="1:5" x14ac:dyDescent="0.3">
      <c r="A172" s="385">
        <f t="shared" si="7"/>
        <v>42900</v>
      </c>
      <c r="B172" s="380">
        <v>164</v>
      </c>
      <c r="C172" s="384">
        <f>+'P12'!$R$65</f>
        <v>0</v>
      </c>
      <c r="D172" s="386">
        <f t="shared" si="8"/>
        <v>1</v>
      </c>
      <c r="E172" s="378">
        <f t="shared" si="9"/>
        <v>3</v>
      </c>
    </row>
    <row r="173" spans="1:5" ht="15.75" thickBot="1" x14ac:dyDescent="0.35">
      <c r="A173" s="385">
        <f t="shared" si="7"/>
        <v>42901</v>
      </c>
      <c r="B173" s="379">
        <v>165</v>
      </c>
      <c r="C173" s="384">
        <f>+'P12'!$S$65</f>
        <v>0</v>
      </c>
      <c r="D173" s="386">
        <f t="shared" si="8"/>
        <v>1</v>
      </c>
      <c r="E173" s="378">
        <f t="shared" si="9"/>
        <v>3</v>
      </c>
    </row>
    <row r="174" spans="1:5" ht="15.75" thickBot="1" x14ac:dyDescent="0.35">
      <c r="A174" s="385">
        <f t="shared" si="7"/>
        <v>42902</v>
      </c>
      <c r="B174" s="379">
        <v>166</v>
      </c>
      <c r="C174" s="384">
        <f>+'P12'!$T$65</f>
        <v>0</v>
      </c>
      <c r="D174" s="386">
        <f t="shared" si="8"/>
        <v>1</v>
      </c>
      <c r="E174" s="378">
        <f t="shared" si="9"/>
        <v>3</v>
      </c>
    </row>
    <row r="175" spans="1:5" x14ac:dyDescent="0.3">
      <c r="A175" s="385">
        <f t="shared" si="7"/>
        <v>42903</v>
      </c>
      <c r="B175" s="380">
        <v>167</v>
      </c>
      <c r="C175" s="384">
        <f>+'P12'!$U$65</f>
        <v>0</v>
      </c>
      <c r="D175" s="386">
        <f t="shared" si="8"/>
        <v>1</v>
      </c>
      <c r="E175" s="378">
        <f t="shared" si="9"/>
        <v>3</v>
      </c>
    </row>
    <row r="176" spans="1:5" ht="15.75" thickBot="1" x14ac:dyDescent="0.35">
      <c r="A176" s="385">
        <f t="shared" si="7"/>
        <v>42904</v>
      </c>
      <c r="B176" s="379">
        <v>168</v>
      </c>
      <c r="C176" s="384">
        <f>+'P12'!$V$65</f>
        <v>0</v>
      </c>
      <c r="D176" s="386">
        <f t="shared" si="8"/>
        <v>1</v>
      </c>
      <c r="E176" s="378">
        <f t="shared" si="9"/>
        <v>3</v>
      </c>
    </row>
    <row r="177" spans="1:5" ht="15.75" thickBot="1" x14ac:dyDescent="0.35">
      <c r="A177" s="385">
        <f t="shared" si="7"/>
        <v>42905</v>
      </c>
      <c r="B177" s="379">
        <v>169</v>
      </c>
      <c r="C177" s="384">
        <f>+'P13'!$G$65</f>
        <v>0</v>
      </c>
      <c r="D177" s="386">
        <f t="shared" si="8"/>
        <v>1</v>
      </c>
      <c r="E177" s="378">
        <f t="shared" si="9"/>
        <v>3</v>
      </c>
    </row>
    <row r="178" spans="1:5" x14ac:dyDescent="0.3">
      <c r="A178" s="385">
        <f t="shared" si="7"/>
        <v>42906</v>
      </c>
      <c r="B178" s="380">
        <v>170</v>
      </c>
      <c r="C178" s="384">
        <f>+'P13'!$H$65</f>
        <v>0</v>
      </c>
      <c r="D178" s="386">
        <f t="shared" si="8"/>
        <v>1</v>
      </c>
      <c r="E178" s="378">
        <f t="shared" si="9"/>
        <v>3</v>
      </c>
    </row>
    <row r="179" spans="1:5" ht="15.75" thickBot="1" x14ac:dyDescent="0.35">
      <c r="A179" s="385">
        <f t="shared" si="7"/>
        <v>42907</v>
      </c>
      <c r="B179" s="379">
        <v>171</v>
      </c>
      <c r="C179" s="384">
        <f>+'P13'!$I$65</f>
        <v>0</v>
      </c>
      <c r="D179" s="386">
        <f t="shared" si="8"/>
        <v>1</v>
      </c>
      <c r="E179" s="378">
        <f t="shared" si="9"/>
        <v>3</v>
      </c>
    </row>
    <row r="180" spans="1:5" ht="15.75" thickBot="1" x14ac:dyDescent="0.35">
      <c r="A180" s="385">
        <f t="shared" si="7"/>
        <v>42908</v>
      </c>
      <c r="B180" s="379">
        <v>172</v>
      </c>
      <c r="C180" s="384">
        <f>+'P13'!$J$65</f>
        <v>0</v>
      </c>
      <c r="D180" s="386">
        <f t="shared" si="8"/>
        <v>1</v>
      </c>
      <c r="E180" s="378">
        <f t="shared" si="9"/>
        <v>3</v>
      </c>
    </row>
    <row r="181" spans="1:5" x14ac:dyDescent="0.3">
      <c r="A181" s="385">
        <f t="shared" si="7"/>
        <v>42909</v>
      </c>
      <c r="B181" s="380">
        <v>173</v>
      </c>
      <c r="C181" s="384">
        <f>+'P13'!$K$65</f>
        <v>0</v>
      </c>
      <c r="D181" s="386">
        <f t="shared" si="8"/>
        <v>1</v>
      </c>
      <c r="E181" s="378">
        <f t="shared" si="9"/>
        <v>3</v>
      </c>
    </row>
    <row r="182" spans="1:5" ht="15.75" thickBot="1" x14ac:dyDescent="0.35">
      <c r="A182" s="385">
        <f t="shared" si="7"/>
        <v>42910</v>
      </c>
      <c r="B182" s="379">
        <v>174</v>
      </c>
      <c r="C182" s="384">
        <f>+'P13'!$L$65</f>
        <v>0</v>
      </c>
      <c r="D182" s="386">
        <f t="shared" si="8"/>
        <v>1</v>
      </c>
      <c r="E182" s="378">
        <f t="shared" si="9"/>
        <v>3</v>
      </c>
    </row>
    <row r="183" spans="1:5" ht="15.75" thickBot="1" x14ac:dyDescent="0.35">
      <c r="A183" s="385">
        <f t="shared" si="7"/>
        <v>42911</v>
      </c>
      <c r="B183" s="379">
        <v>175</v>
      </c>
      <c r="C183" s="384">
        <f>+'P13'!$M$65</f>
        <v>0</v>
      </c>
      <c r="D183" s="386">
        <f t="shared" si="8"/>
        <v>1</v>
      </c>
      <c r="E183" s="378">
        <f t="shared" si="9"/>
        <v>3</v>
      </c>
    </row>
    <row r="184" spans="1:5" x14ac:dyDescent="0.3">
      <c r="A184" s="385">
        <f t="shared" si="7"/>
        <v>42912</v>
      </c>
      <c r="B184" s="380">
        <v>176</v>
      </c>
      <c r="C184" s="384">
        <f>+'P13'!$P$65</f>
        <v>0</v>
      </c>
      <c r="D184" s="386">
        <f t="shared" si="8"/>
        <v>1</v>
      </c>
      <c r="E184" s="378">
        <f t="shared" si="9"/>
        <v>3</v>
      </c>
    </row>
    <row r="185" spans="1:5" ht="15.75" thickBot="1" x14ac:dyDescent="0.35">
      <c r="A185" s="385">
        <f t="shared" si="7"/>
        <v>42913</v>
      </c>
      <c r="B185" s="379">
        <v>177</v>
      </c>
      <c r="C185" s="384">
        <f>+'P13'!$Q$65</f>
        <v>0</v>
      </c>
      <c r="D185" s="386">
        <f t="shared" si="8"/>
        <v>1</v>
      </c>
      <c r="E185" s="378">
        <f t="shared" si="9"/>
        <v>3</v>
      </c>
    </row>
    <row r="186" spans="1:5" ht="15.75" thickBot="1" x14ac:dyDescent="0.35">
      <c r="A186" s="385">
        <f t="shared" si="7"/>
        <v>42914</v>
      </c>
      <c r="B186" s="379">
        <v>178</v>
      </c>
      <c r="C186" s="384">
        <f>+'P13'!$R$65</f>
        <v>0</v>
      </c>
      <c r="D186" s="386">
        <f t="shared" si="8"/>
        <v>1</v>
      </c>
      <c r="E186" s="378">
        <f t="shared" si="9"/>
        <v>3</v>
      </c>
    </row>
    <row r="187" spans="1:5" x14ac:dyDescent="0.3">
      <c r="A187" s="385">
        <f t="shared" si="7"/>
        <v>42915</v>
      </c>
      <c r="B187" s="380">
        <v>179</v>
      </c>
      <c r="C187" s="384">
        <f>+'P13'!$S$65</f>
        <v>0</v>
      </c>
      <c r="D187" s="386">
        <f t="shared" si="8"/>
        <v>1</v>
      </c>
      <c r="E187" s="378">
        <f t="shared" si="9"/>
        <v>3</v>
      </c>
    </row>
    <row r="188" spans="1:5" ht="15.75" thickBot="1" x14ac:dyDescent="0.35">
      <c r="A188" s="385">
        <f t="shared" si="7"/>
        <v>42916</v>
      </c>
      <c r="B188" s="379">
        <v>180</v>
      </c>
      <c r="C188" s="384">
        <f>+'P13'!$T$65</f>
        <v>0</v>
      </c>
      <c r="D188" s="386">
        <f t="shared" si="8"/>
        <v>1</v>
      </c>
      <c r="E188" s="378">
        <f t="shared" si="9"/>
        <v>3</v>
      </c>
    </row>
    <row r="189" spans="1:5" ht="15.75" thickBot="1" x14ac:dyDescent="0.35">
      <c r="A189" s="385">
        <f t="shared" si="7"/>
        <v>42917</v>
      </c>
      <c r="B189" s="379">
        <v>181</v>
      </c>
      <c r="C189" s="384">
        <f>+'P13'!$U$65</f>
        <v>0</v>
      </c>
      <c r="D189" s="386">
        <f t="shared" si="8"/>
        <v>1</v>
      </c>
      <c r="E189" s="378">
        <f t="shared" si="9"/>
        <v>3</v>
      </c>
    </row>
    <row r="190" spans="1:5" x14ac:dyDescent="0.3">
      <c r="A190" s="385">
        <f t="shared" si="7"/>
        <v>42918</v>
      </c>
      <c r="B190" s="380">
        <v>182</v>
      </c>
      <c r="C190" s="384">
        <f>+'P13'!$V$65</f>
        <v>0</v>
      </c>
      <c r="D190" s="386">
        <f t="shared" si="8"/>
        <v>1</v>
      </c>
      <c r="E190" s="378">
        <f t="shared" si="9"/>
        <v>3</v>
      </c>
    </row>
    <row r="191" spans="1:5" ht="15.75" thickBot="1" x14ac:dyDescent="0.35">
      <c r="A191" s="385">
        <f t="shared" si="7"/>
        <v>42919</v>
      </c>
      <c r="B191" s="379">
        <v>183</v>
      </c>
      <c r="C191" s="384">
        <f>+'P14'!$G$65</f>
        <v>0</v>
      </c>
      <c r="D191" s="386">
        <f t="shared" si="8"/>
        <v>1</v>
      </c>
      <c r="E191" s="378">
        <f t="shared" si="9"/>
        <v>3</v>
      </c>
    </row>
    <row r="192" spans="1:5" ht="15.75" thickBot="1" x14ac:dyDescent="0.35">
      <c r="A192" s="385">
        <f t="shared" si="7"/>
        <v>42920</v>
      </c>
      <c r="B192" s="379">
        <v>184</v>
      </c>
      <c r="C192" s="384">
        <f>+'P14'!$H$65</f>
        <v>0.33333333333333331</v>
      </c>
      <c r="D192" s="386">
        <f t="shared" si="8"/>
        <v>1.3333333333333333</v>
      </c>
      <c r="E192" s="378">
        <f t="shared" si="9"/>
        <v>4</v>
      </c>
    </row>
    <row r="193" spans="1:5" x14ac:dyDescent="0.3">
      <c r="A193" s="385">
        <f t="shared" si="7"/>
        <v>42921</v>
      </c>
      <c r="B193" s="380">
        <v>185</v>
      </c>
      <c r="C193" s="384">
        <f>+'P14'!$I$65</f>
        <v>0</v>
      </c>
      <c r="D193" s="386">
        <f t="shared" si="8"/>
        <v>1.3333333333333333</v>
      </c>
      <c r="E193" s="378">
        <f t="shared" si="9"/>
        <v>4</v>
      </c>
    </row>
    <row r="194" spans="1:5" ht="15.75" thickBot="1" x14ac:dyDescent="0.35">
      <c r="A194" s="385">
        <f t="shared" si="7"/>
        <v>42922</v>
      </c>
      <c r="B194" s="379">
        <v>186</v>
      </c>
      <c r="C194" s="384">
        <f>+'P14'!$J$65</f>
        <v>0</v>
      </c>
      <c r="D194" s="386">
        <f t="shared" si="8"/>
        <v>1.3333333333333333</v>
      </c>
      <c r="E194" s="378">
        <f t="shared" si="9"/>
        <v>4</v>
      </c>
    </row>
    <row r="195" spans="1:5" ht="15.75" thickBot="1" x14ac:dyDescent="0.35">
      <c r="A195" s="385">
        <f t="shared" si="7"/>
        <v>42923</v>
      </c>
      <c r="B195" s="379">
        <v>187</v>
      </c>
      <c r="C195" s="384">
        <f>+'P14'!$K$65</f>
        <v>0</v>
      </c>
      <c r="D195" s="386">
        <f t="shared" si="8"/>
        <v>1.3333333333333333</v>
      </c>
      <c r="E195" s="378">
        <f t="shared" si="9"/>
        <v>4</v>
      </c>
    </row>
    <row r="196" spans="1:5" x14ac:dyDescent="0.3">
      <c r="A196" s="385">
        <f t="shared" si="7"/>
        <v>42924</v>
      </c>
      <c r="B196" s="380">
        <v>188</v>
      </c>
      <c r="C196" s="384">
        <f>+'P14'!$L$65</f>
        <v>0</v>
      </c>
      <c r="D196" s="386">
        <f t="shared" si="8"/>
        <v>1.3333333333333333</v>
      </c>
      <c r="E196" s="378">
        <f t="shared" si="9"/>
        <v>4</v>
      </c>
    </row>
    <row r="197" spans="1:5" ht="15.75" thickBot="1" x14ac:dyDescent="0.35">
      <c r="A197" s="385">
        <f t="shared" si="7"/>
        <v>42925</v>
      </c>
      <c r="B197" s="379">
        <v>189</v>
      </c>
      <c r="C197" s="384">
        <f>+'P14'!$M$65</f>
        <v>0</v>
      </c>
      <c r="D197" s="386">
        <f t="shared" si="8"/>
        <v>1.3333333333333333</v>
      </c>
      <c r="E197" s="378">
        <f t="shared" si="9"/>
        <v>4</v>
      </c>
    </row>
    <row r="198" spans="1:5" ht="15.75" thickBot="1" x14ac:dyDescent="0.35">
      <c r="A198" s="385">
        <f t="shared" si="7"/>
        <v>42926</v>
      </c>
      <c r="B198" s="379">
        <v>190</v>
      </c>
      <c r="C198" s="384">
        <f>+'P14'!$P$65</f>
        <v>0</v>
      </c>
      <c r="D198" s="386">
        <f t="shared" si="8"/>
        <v>1.3333333333333333</v>
      </c>
      <c r="E198" s="378">
        <f t="shared" si="9"/>
        <v>4</v>
      </c>
    </row>
    <row r="199" spans="1:5" x14ac:dyDescent="0.3">
      <c r="A199" s="385">
        <f t="shared" si="7"/>
        <v>42927</v>
      </c>
      <c r="B199" s="380">
        <v>191</v>
      </c>
      <c r="C199" s="384">
        <f>+'P14'!$Q$65</f>
        <v>0</v>
      </c>
      <c r="D199" s="386">
        <f t="shared" si="8"/>
        <v>1.3333333333333333</v>
      </c>
      <c r="E199" s="378">
        <f t="shared" si="9"/>
        <v>4</v>
      </c>
    </row>
    <row r="200" spans="1:5" ht="15.75" thickBot="1" x14ac:dyDescent="0.35">
      <c r="A200" s="385">
        <f t="shared" si="7"/>
        <v>42928</v>
      </c>
      <c r="B200" s="379">
        <v>192</v>
      </c>
      <c r="C200" s="384">
        <f>+'P14'!$R$65</f>
        <v>0</v>
      </c>
      <c r="D200" s="386">
        <f t="shared" si="8"/>
        <v>1.3333333333333333</v>
      </c>
      <c r="E200" s="378">
        <f t="shared" si="9"/>
        <v>4</v>
      </c>
    </row>
    <row r="201" spans="1:5" ht="15.75" thickBot="1" x14ac:dyDescent="0.35">
      <c r="A201" s="385">
        <f t="shared" si="7"/>
        <v>42929</v>
      </c>
      <c r="B201" s="379">
        <v>193</v>
      </c>
      <c r="C201" s="384">
        <f>+'P14'!$S$65</f>
        <v>0</v>
      </c>
      <c r="D201" s="386">
        <f t="shared" si="8"/>
        <v>1.3333333333333333</v>
      </c>
      <c r="E201" s="378">
        <f t="shared" si="9"/>
        <v>4</v>
      </c>
    </row>
    <row r="202" spans="1:5" x14ac:dyDescent="0.3">
      <c r="A202" s="385">
        <f t="shared" si="7"/>
        <v>42930</v>
      </c>
      <c r="B202" s="380">
        <v>194</v>
      </c>
      <c r="C202" s="384">
        <f>+'P14'!$T$65</f>
        <v>0</v>
      </c>
      <c r="D202" s="386">
        <f t="shared" si="8"/>
        <v>1.3333333333333333</v>
      </c>
      <c r="E202" s="378">
        <f t="shared" si="9"/>
        <v>4</v>
      </c>
    </row>
    <row r="203" spans="1:5" ht="15.75" thickBot="1" x14ac:dyDescent="0.35">
      <c r="A203" s="385">
        <f t="shared" ref="A203:A266" si="10">+A202+1</f>
        <v>42931</v>
      </c>
      <c r="B203" s="379">
        <v>195</v>
      </c>
      <c r="C203" s="384">
        <f>+'P14'!$U$65</f>
        <v>0</v>
      </c>
      <c r="D203" s="386">
        <f t="shared" ref="D203:D266" si="11">+C203+D202</f>
        <v>1.3333333333333333</v>
      </c>
      <c r="E203" s="378">
        <f t="shared" si="9"/>
        <v>4</v>
      </c>
    </row>
    <row r="204" spans="1:5" ht="15.75" thickBot="1" x14ac:dyDescent="0.35">
      <c r="A204" s="385">
        <f t="shared" si="10"/>
        <v>42932</v>
      </c>
      <c r="B204" s="379">
        <v>196</v>
      </c>
      <c r="C204" s="384">
        <f>+'P14'!$V$65</f>
        <v>0</v>
      </c>
      <c r="D204" s="386">
        <f t="shared" si="11"/>
        <v>1.3333333333333333</v>
      </c>
      <c r="E204" s="378">
        <f t="shared" si="9"/>
        <v>4</v>
      </c>
    </row>
    <row r="205" spans="1:5" x14ac:dyDescent="0.3">
      <c r="A205" s="385">
        <f t="shared" si="10"/>
        <v>42933</v>
      </c>
      <c r="B205" s="380">
        <v>197</v>
      </c>
      <c r="C205" s="384">
        <f>+'P15'!$G$65</f>
        <v>0</v>
      </c>
      <c r="D205" s="386">
        <f t="shared" si="11"/>
        <v>1.3333333333333333</v>
      </c>
      <c r="E205" s="378">
        <f t="shared" si="9"/>
        <v>4</v>
      </c>
    </row>
    <row r="206" spans="1:5" ht="15.75" thickBot="1" x14ac:dyDescent="0.35">
      <c r="A206" s="385">
        <f t="shared" si="10"/>
        <v>42934</v>
      </c>
      <c r="B206" s="379">
        <v>198</v>
      </c>
      <c r="C206" s="384">
        <f>+'P15'!$H$65</f>
        <v>0</v>
      </c>
      <c r="D206" s="386">
        <f t="shared" si="11"/>
        <v>1.3333333333333333</v>
      </c>
      <c r="E206" s="378">
        <f t="shared" si="9"/>
        <v>4</v>
      </c>
    </row>
    <row r="207" spans="1:5" ht="15.75" thickBot="1" x14ac:dyDescent="0.35">
      <c r="A207" s="385">
        <f t="shared" si="10"/>
        <v>42935</v>
      </c>
      <c r="B207" s="379">
        <v>199</v>
      </c>
      <c r="C207" s="384">
        <f>+'P15'!$I$65</f>
        <v>0</v>
      </c>
      <c r="D207" s="386">
        <f t="shared" si="11"/>
        <v>1.3333333333333333</v>
      </c>
      <c r="E207" s="378">
        <f t="shared" si="9"/>
        <v>4</v>
      </c>
    </row>
    <row r="208" spans="1:5" x14ac:dyDescent="0.3">
      <c r="A208" s="385">
        <f t="shared" si="10"/>
        <v>42936</v>
      </c>
      <c r="B208" s="380">
        <v>200</v>
      </c>
      <c r="C208" s="384">
        <f>+'P15'!$J$65</f>
        <v>0</v>
      </c>
      <c r="D208" s="386">
        <f t="shared" si="11"/>
        <v>1.3333333333333333</v>
      </c>
      <c r="E208" s="378">
        <f t="shared" si="9"/>
        <v>4</v>
      </c>
    </row>
    <row r="209" spans="1:5" ht="15.75" thickBot="1" x14ac:dyDescent="0.35">
      <c r="A209" s="385">
        <f t="shared" si="10"/>
        <v>42937</v>
      </c>
      <c r="B209" s="379">
        <v>201</v>
      </c>
      <c r="C209" s="384">
        <f>+'P15'!$K$65</f>
        <v>0</v>
      </c>
      <c r="D209" s="386">
        <f t="shared" si="11"/>
        <v>1.3333333333333333</v>
      </c>
      <c r="E209" s="378">
        <f t="shared" si="9"/>
        <v>4</v>
      </c>
    </row>
    <row r="210" spans="1:5" ht="15.75" thickBot="1" x14ac:dyDescent="0.35">
      <c r="A210" s="385">
        <f t="shared" si="10"/>
        <v>42938</v>
      </c>
      <c r="B210" s="379">
        <v>202</v>
      </c>
      <c r="C210" s="384">
        <f>+'P15'!$L$65</f>
        <v>0</v>
      </c>
      <c r="D210" s="386">
        <f t="shared" si="11"/>
        <v>1.3333333333333333</v>
      </c>
      <c r="E210" s="378">
        <f t="shared" si="9"/>
        <v>4</v>
      </c>
    </row>
    <row r="211" spans="1:5" x14ac:dyDescent="0.3">
      <c r="A211" s="385">
        <f t="shared" si="10"/>
        <v>42939</v>
      </c>
      <c r="B211" s="380">
        <v>203</v>
      </c>
      <c r="C211" s="384">
        <f>+'P15'!$M$65</f>
        <v>0</v>
      </c>
      <c r="D211" s="386">
        <f t="shared" si="11"/>
        <v>1.3333333333333333</v>
      </c>
      <c r="E211" s="378">
        <f t="shared" si="9"/>
        <v>4</v>
      </c>
    </row>
    <row r="212" spans="1:5" ht="15.75" thickBot="1" x14ac:dyDescent="0.35">
      <c r="A212" s="385">
        <f t="shared" si="10"/>
        <v>42940</v>
      </c>
      <c r="B212" s="379">
        <v>204</v>
      </c>
      <c r="C212" s="384">
        <f>+'P15'!$P$65</f>
        <v>0</v>
      </c>
      <c r="D212" s="386">
        <f t="shared" si="11"/>
        <v>1.3333333333333333</v>
      </c>
      <c r="E212" s="378">
        <f t="shared" si="9"/>
        <v>4</v>
      </c>
    </row>
    <row r="213" spans="1:5" ht="15.75" thickBot="1" x14ac:dyDescent="0.35">
      <c r="A213" s="385">
        <f t="shared" si="10"/>
        <v>42941</v>
      </c>
      <c r="B213" s="379">
        <v>205</v>
      </c>
      <c r="C213" s="384">
        <f>+'P15'!$Q$65</f>
        <v>0</v>
      </c>
      <c r="D213" s="386">
        <f t="shared" si="11"/>
        <v>1.3333333333333333</v>
      </c>
      <c r="E213" s="378">
        <f t="shared" si="9"/>
        <v>4</v>
      </c>
    </row>
    <row r="214" spans="1:5" x14ac:dyDescent="0.3">
      <c r="A214" s="385">
        <f t="shared" si="10"/>
        <v>42942</v>
      </c>
      <c r="B214" s="380">
        <v>206</v>
      </c>
      <c r="C214" s="384">
        <f>+'P15'!$R$65</f>
        <v>0</v>
      </c>
      <c r="D214" s="386">
        <f t="shared" si="11"/>
        <v>1.3333333333333333</v>
      </c>
      <c r="E214" s="378">
        <f t="shared" si="9"/>
        <v>4</v>
      </c>
    </row>
    <row r="215" spans="1:5" ht="15.75" thickBot="1" x14ac:dyDescent="0.35">
      <c r="A215" s="385">
        <f t="shared" si="10"/>
        <v>42943</v>
      </c>
      <c r="B215" s="379">
        <v>207</v>
      </c>
      <c r="C215" s="384">
        <f>+'P15'!$S$65</f>
        <v>0</v>
      </c>
      <c r="D215" s="386">
        <f t="shared" si="11"/>
        <v>1.3333333333333333</v>
      </c>
      <c r="E215" s="378">
        <f t="shared" si="9"/>
        <v>4</v>
      </c>
    </row>
    <row r="216" spans="1:5" ht="15.75" thickBot="1" x14ac:dyDescent="0.35">
      <c r="A216" s="385">
        <f t="shared" si="10"/>
        <v>42944</v>
      </c>
      <c r="B216" s="379">
        <v>208</v>
      </c>
      <c r="C216" s="384">
        <f>+'P15'!$T$65</f>
        <v>0</v>
      </c>
      <c r="D216" s="386">
        <f t="shared" si="11"/>
        <v>1.3333333333333333</v>
      </c>
      <c r="E216" s="378">
        <f t="shared" si="9"/>
        <v>4</v>
      </c>
    </row>
    <row r="217" spans="1:5" x14ac:dyDescent="0.3">
      <c r="A217" s="385">
        <f t="shared" si="10"/>
        <v>42945</v>
      </c>
      <c r="B217" s="380">
        <v>209</v>
      </c>
      <c r="C217" s="384">
        <f>+'P15'!$U$65</f>
        <v>0</v>
      </c>
      <c r="D217" s="386">
        <f t="shared" si="11"/>
        <v>1.3333333333333333</v>
      </c>
      <c r="E217" s="378">
        <f t="shared" si="9"/>
        <v>4</v>
      </c>
    </row>
    <row r="218" spans="1:5" ht="15.75" thickBot="1" x14ac:dyDescent="0.35">
      <c r="A218" s="385">
        <f t="shared" si="10"/>
        <v>42946</v>
      </c>
      <c r="B218" s="379">
        <v>210</v>
      </c>
      <c r="C218" s="384">
        <f>+'P15'!$V$65</f>
        <v>0</v>
      </c>
      <c r="D218" s="386">
        <f t="shared" si="11"/>
        <v>1.3333333333333333</v>
      </c>
      <c r="E218" s="378">
        <f t="shared" si="9"/>
        <v>4</v>
      </c>
    </row>
    <row r="219" spans="1:5" ht="15.75" thickBot="1" x14ac:dyDescent="0.35">
      <c r="A219" s="385">
        <f t="shared" si="10"/>
        <v>42947</v>
      </c>
      <c r="B219" s="379">
        <v>211</v>
      </c>
      <c r="C219" s="384">
        <f>+'P16'!$G$65</f>
        <v>0</v>
      </c>
      <c r="D219" s="386">
        <f t="shared" si="11"/>
        <v>1.3333333333333333</v>
      </c>
      <c r="E219" s="378">
        <f t="shared" si="9"/>
        <v>4</v>
      </c>
    </row>
    <row r="220" spans="1:5" x14ac:dyDescent="0.3">
      <c r="A220" s="385">
        <f t="shared" si="10"/>
        <v>42948</v>
      </c>
      <c r="B220" s="380">
        <v>212</v>
      </c>
      <c r="C220" s="384">
        <f>+'P16'!$H$65</f>
        <v>0</v>
      </c>
      <c r="D220" s="386">
        <f t="shared" si="11"/>
        <v>1.3333333333333333</v>
      </c>
      <c r="E220" s="378">
        <f t="shared" si="9"/>
        <v>4</v>
      </c>
    </row>
    <row r="221" spans="1:5" ht="15.75" thickBot="1" x14ac:dyDescent="0.35">
      <c r="A221" s="385">
        <f t="shared" si="10"/>
        <v>42949</v>
      </c>
      <c r="B221" s="379">
        <v>213</v>
      </c>
      <c r="C221" s="384">
        <f>+'P16'!$I$65</f>
        <v>0</v>
      </c>
      <c r="D221" s="386">
        <f t="shared" si="11"/>
        <v>1.3333333333333333</v>
      </c>
      <c r="E221" s="378">
        <f t="shared" si="9"/>
        <v>4</v>
      </c>
    </row>
    <row r="222" spans="1:5" ht="15.75" thickBot="1" x14ac:dyDescent="0.35">
      <c r="A222" s="385">
        <f t="shared" si="10"/>
        <v>42950</v>
      </c>
      <c r="B222" s="379">
        <v>214</v>
      </c>
      <c r="C222" s="384">
        <f>+'P16'!$J$65</f>
        <v>0</v>
      </c>
      <c r="D222" s="386">
        <f t="shared" si="11"/>
        <v>1.3333333333333333</v>
      </c>
      <c r="E222" s="378">
        <f t="shared" si="9"/>
        <v>4</v>
      </c>
    </row>
    <row r="223" spans="1:5" x14ac:dyDescent="0.3">
      <c r="A223" s="385">
        <f t="shared" si="10"/>
        <v>42951</v>
      </c>
      <c r="B223" s="380">
        <v>215</v>
      </c>
      <c r="C223" s="384">
        <f>+'P16'!$K$65</f>
        <v>0</v>
      </c>
      <c r="D223" s="386">
        <f t="shared" si="11"/>
        <v>1.3333333333333333</v>
      </c>
      <c r="E223" s="378">
        <f t="shared" si="9"/>
        <v>4</v>
      </c>
    </row>
    <row r="224" spans="1:5" ht="15.75" thickBot="1" x14ac:dyDescent="0.35">
      <c r="A224" s="385">
        <f t="shared" si="10"/>
        <v>42952</v>
      </c>
      <c r="B224" s="379">
        <v>216</v>
      </c>
      <c r="C224" s="384">
        <f>+'P16'!$L$65</f>
        <v>0</v>
      </c>
      <c r="D224" s="386">
        <f t="shared" si="11"/>
        <v>1.3333333333333333</v>
      </c>
      <c r="E224" s="378">
        <f t="shared" si="9"/>
        <v>4</v>
      </c>
    </row>
    <row r="225" spans="1:5" ht="15.75" thickBot="1" x14ac:dyDescent="0.35">
      <c r="A225" s="385">
        <f t="shared" si="10"/>
        <v>42953</v>
      </c>
      <c r="B225" s="379">
        <v>217</v>
      </c>
      <c r="C225" s="384">
        <f>+'P16'!$M$65</f>
        <v>0</v>
      </c>
      <c r="D225" s="386">
        <f t="shared" si="11"/>
        <v>1.3333333333333333</v>
      </c>
      <c r="E225" s="378">
        <f t="shared" si="9"/>
        <v>4</v>
      </c>
    </row>
    <row r="226" spans="1:5" x14ac:dyDescent="0.3">
      <c r="A226" s="385">
        <f t="shared" si="10"/>
        <v>42954</v>
      </c>
      <c r="B226" s="380">
        <v>218</v>
      </c>
      <c r="C226" s="384">
        <f>+'P16'!$P$65</f>
        <v>0</v>
      </c>
      <c r="D226" s="386">
        <f t="shared" si="11"/>
        <v>1.3333333333333333</v>
      </c>
      <c r="E226" s="378">
        <f t="shared" si="9"/>
        <v>4</v>
      </c>
    </row>
    <row r="227" spans="1:5" ht="15.75" thickBot="1" x14ac:dyDescent="0.35">
      <c r="A227" s="385">
        <f t="shared" si="10"/>
        <v>42955</v>
      </c>
      <c r="B227" s="379">
        <v>219</v>
      </c>
      <c r="C227" s="384">
        <f>+'P16'!$Q$65</f>
        <v>0</v>
      </c>
      <c r="D227" s="386">
        <f t="shared" si="11"/>
        <v>1.3333333333333333</v>
      </c>
      <c r="E227" s="378">
        <f t="shared" si="9"/>
        <v>4</v>
      </c>
    </row>
    <row r="228" spans="1:5" ht="15.75" thickBot="1" x14ac:dyDescent="0.35">
      <c r="A228" s="385">
        <f t="shared" si="10"/>
        <v>42956</v>
      </c>
      <c r="B228" s="379">
        <v>220</v>
      </c>
      <c r="C228" s="384">
        <f>+'P16'!$R$65</f>
        <v>0</v>
      </c>
      <c r="D228" s="386">
        <f t="shared" si="11"/>
        <v>1.3333333333333333</v>
      </c>
      <c r="E228" s="378">
        <f t="shared" si="9"/>
        <v>4</v>
      </c>
    </row>
    <row r="229" spans="1:5" x14ac:dyDescent="0.3">
      <c r="A229" s="385">
        <f t="shared" si="10"/>
        <v>42957</v>
      </c>
      <c r="B229" s="380">
        <v>221</v>
      </c>
      <c r="C229" s="384">
        <f>+'P16'!$S$65</f>
        <v>0</v>
      </c>
      <c r="D229" s="386">
        <f t="shared" si="11"/>
        <v>1.3333333333333333</v>
      </c>
      <c r="E229" s="378">
        <f t="shared" ref="E229:E292" si="12">IF(C229&gt;0,E228+1,E228)</f>
        <v>4</v>
      </c>
    </row>
    <row r="230" spans="1:5" ht="15.75" thickBot="1" x14ac:dyDescent="0.35">
      <c r="A230" s="385">
        <f t="shared" si="10"/>
        <v>42958</v>
      </c>
      <c r="B230" s="379">
        <v>222</v>
      </c>
      <c r="C230" s="384">
        <f>+'P16'!$T$65</f>
        <v>0</v>
      </c>
      <c r="D230" s="386">
        <f t="shared" si="11"/>
        <v>1.3333333333333333</v>
      </c>
      <c r="E230" s="378">
        <f t="shared" si="12"/>
        <v>4</v>
      </c>
    </row>
    <row r="231" spans="1:5" ht="15.75" thickBot="1" x14ac:dyDescent="0.35">
      <c r="A231" s="385">
        <f t="shared" si="10"/>
        <v>42959</v>
      </c>
      <c r="B231" s="379">
        <v>223</v>
      </c>
      <c r="C231" s="384">
        <f>+'P16'!$U$65</f>
        <v>0</v>
      </c>
      <c r="D231" s="386">
        <f t="shared" si="11"/>
        <v>1.3333333333333333</v>
      </c>
      <c r="E231" s="378">
        <f t="shared" si="12"/>
        <v>4</v>
      </c>
    </row>
    <row r="232" spans="1:5" x14ac:dyDescent="0.3">
      <c r="A232" s="385">
        <f t="shared" si="10"/>
        <v>42960</v>
      </c>
      <c r="B232" s="380">
        <v>224</v>
      </c>
      <c r="C232" s="384">
        <f>+'P16'!$V$65</f>
        <v>0</v>
      </c>
      <c r="D232" s="386">
        <f t="shared" si="11"/>
        <v>1.3333333333333333</v>
      </c>
      <c r="E232" s="378">
        <f t="shared" si="12"/>
        <v>4</v>
      </c>
    </row>
    <row r="233" spans="1:5" ht="15.75" thickBot="1" x14ac:dyDescent="0.35">
      <c r="A233" s="385">
        <f t="shared" si="10"/>
        <v>42961</v>
      </c>
      <c r="B233" s="379">
        <v>225</v>
      </c>
      <c r="C233" s="384">
        <f>+'P17'!$G$65</f>
        <v>0</v>
      </c>
      <c r="D233" s="386">
        <f t="shared" si="11"/>
        <v>1.3333333333333333</v>
      </c>
      <c r="E233" s="378">
        <f t="shared" si="12"/>
        <v>4</v>
      </c>
    </row>
    <row r="234" spans="1:5" ht="15.75" thickBot="1" x14ac:dyDescent="0.35">
      <c r="A234" s="385">
        <f t="shared" si="10"/>
        <v>42962</v>
      </c>
      <c r="B234" s="379">
        <v>226</v>
      </c>
      <c r="C234" s="384">
        <f>+'P17'!$H$65</f>
        <v>0</v>
      </c>
      <c r="D234" s="386">
        <f t="shared" si="11"/>
        <v>1.3333333333333333</v>
      </c>
      <c r="E234" s="378">
        <f t="shared" si="12"/>
        <v>4</v>
      </c>
    </row>
    <row r="235" spans="1:5" x14ac:dyDescent="0.3">
      <c r="A235" s="385">
        <f t="shared" si="10"/>
        <v>42963</v>
      </c>
      <c r="B235" s="380">
        <v>227</v>
      </c>
      <c r="C235" s="384">
        <f>+'P17'!$I$65</f>
        <v>0</v>
      </c>
      <c r="D235" s="386">
        <f t="shared" si="11"/>
        <v>1.3333333333333333</v>
      </c>
      <c r="E235" s="378">
        <f t="shared" si="12"/>
        <v>4</v>
      </c>
    </row>
    <row r="236" spans="1:5" ht="15.75" thickBot="1" x14ac:dyDescent="0.35">
      <c r="A236" s="385">
        <f t="shared" si="10"/>
        <v>42964</v>
      </c>
      <c r="B236" s="379">
        <v>228</v>
      </c>
      <c r="C236" s="384">
        <f>+'P17'!$J$65</f>
        <v>0</v>
      </c>
      <c r="D236" s="386">
        <f t="shared" si="11"/>
        <v>1.3333333333333333</v>
      </c>
      <c r="E236" s="378">
        <f t="shared" si="12"/>
        <v>4</v>
      </c>
    </row>
    <row r="237" spans="1:5" ht="15.75" thickBot="1" x14ac:dyDescent="0.35">
      <c r="A237" s="385">
        <f t="shared" si="10"/>
        <v>42965</v>
      </c>
      <c r="B237" s="379">
        <v>229</v>
      </c>
      <c r="C237" s="384">
        <f>+'P17'!$K$65</f>
        <v>0</v>
      </c>
      <c r="D237" s="386">
        <f t="shared" si="11"/>
        <v>1.3333333333333333</v>
      </c>
      <c r="E237" s="378">
        <f t="shared" si="12"/>
        <v>4</v>
      </c>
    </row>
    <row r="238" spans="1:5" x14ac:dyDescent="0.3">
      <c r="A238" s="385">
        <f t="shared" si="10"/>
        <v>42966</v>
      </c>
      <c r="B238" s="380">
        <v>230</v>
      </c>
      <c r="C238" s="384">
        <f>+'P17'!$L$65</f>
        <v>0</v>
      </c>
      <c r="D238" s="386">
        <f t="shared" si="11"/>
        <v>1.3333333333333333</v>
      </c>
      <c r="E238" s="378">
        <f t="shared" si="12"/>
        <v>4</v>
      </c>
    </row>
    <row r="239" spans="1:5" ht="15.75" thickBot="1" x14ac:dyDescent="0.35">
      <c r="A239" s="385">
        <f t="shared" si="10"/>
        <v>42967</v>
      </c>
      <c r="B239" s="379">
        <v>231</v>
      </c>
      <c r="C239" s="384">
        <f>+'P17'!$M$65</f>
        <v>0</v>
      </c>
      <c r="D239" s="386">
        <f t="shared" si="11"/>
        <v>1.3333333333333333</v>
      </c>
      <c r="E239" s="378">
        <f t="shared" si="12"/>
        <v>4</v>
      </c>
    </row>
    <row r="240" spans="1:5" ht="15.75" thickBot="1" x14ac:dyDescent="0.35">
      <c r="A240" s="385">
        <f t="shared" si="10"/>
        <v>42968</v>
      </c>
      <c r="B240" s="379">
        <v>232</v>
      </c>
      <c r="C240" s="384">
        <f>+'P17'!$P$65</f>
        <v>0</v>
      </c>
      <c r="D240" s="386">
        <f t="shared" si="11"/>
        <v>1.3333333333333333</v>
      </c>
      <c r="E240" s="378">
        <f t="shared" si="12"/>
        <v>4</v>
      </c>
    </row>
    <row r="241" spans="1:5" x14ac:dyDescent="0.3">
      <c r="A241" s="385">
        <f t="shared" si="10"/>
        <v>42969</v>
      </c>
      <c r="B241" s="380">
        <v>233</v>
      </c>
      <c r="C241" s="384">
        <f>+'P17'!$Q$65</f>
        <v>0</v>
      </c>
      <c r="D241" s="386">
        <f t="shared" si="11"/>
        <v>1.3333333333333333</v>
      </c>
      <c r="E241" s="378">
        <f t="shared" si="12"/>
        <v>4</v>
      </c>
    </row>
    <row r="242" spans="1:5" ht="15.75" thickBot="1" x14ac:dyDescent="0.35">
      <c r="A242" s="385">
        <f t="shared" si="10"/>
        <v>42970</v>
      </c>
      <c r="B242" s="379">
        <v>234</v>
      </c>
      <c r="C242" s="384">
        <f>+'P17'!$R$65</f>
        <v>0</v>
      </c>
      <c r="D242" s="386">
        <f t="shared" si="11"/>
        <v>1.3333333333333333</v>
      </c>
      <c r="E242" s="378">
        <f t="shared" si="12"/>
        <v>4</v>
      </c>
    </row>
    <row r="243" spans="1:5" ht="15.75" thickBot="1" x14ac:dyDescent="0.35">
      <c r="A243" s="385">
        <f t="shared" si="10"/>
        <v>42971</v>
      </c>
      <c r="B243" s="379">
        <v>235</v>
      </c>
      <c r="C243" s="384">
        <f>+'P17'!$S$65</f>
        <v>0</v>
      </c>
      <c r="D243" s="386">
        <f t="shared" si="11"/>
        <v>1.3333333333333333</v>
      </c>
      <c r="E243" s="378">
        <f t="shared" si="12"/>
        <v>4</v>
      </c>
    </row>
    <row r="244" spans="1:5" x14ac:dyDescent="0.3">
      <c r="A244" s="385">
        <f t="shared" si="10"/>
        <v>42972</v>
      </c>
      <c r="B244" s="380">
        <v>236</v>
      </c>
      <c r="C244" s="384">
        <f>+'P17'!$T$65</f>
        <v>0</v>
      </c>
      <c r="D244" s="386">
        <f t="shared" si="11"/>
        <v>1.3333333333333333</v>
      </c>
      <c r="E244" s="378">
        <f t="shared" si="12"/>
        <v>4</v>
      </c>
    </row>
    <row r="245" spans="1:5" ht="15.75" thickBot="1" x14ac:dyDescent="0.35">
      <c r="A245" s="385">
        <f t="shared" si="10"/>
        <v>42973</v>
      </c>
      <c r="B245" s="379">
        <v>237</v>
      </c>
      <c r="C245" s="384">
        <f>+'P17'!$U$65</f>
        <v>0</v>
      </c>
      <c r="D245" s="386">
        <f t="shared" si="11"/>
        <v>1.3333333333333333</v>
      </c>
      <c r="E245" s="378">
        <f t="shared" si="12"/>
        <v>4</v>
      </c>
    </row>
    <row r="246" spans="1:5" ht="15.75" thickBot="1" x14ac:dyDescent="0.35">
      <c r="A246" s="385">
        <f t="shared" si="10"/>
        <v>42974</v>
      </c>
      <c r="B246" s="379">
        <v>238</v>
      </c>
      <c r="C246" s="384">
        <f>+'P17'!$V$65</f>
        <v>0</v>
      </c>
      <c r="D246" s="386">
        <f t="shared" si="11"/>
        <v>1.3333333333333333</v>
      </c>
      <c r="E246" s="378">
        <f t="shared" si="12"/>
        <v>4</v>
      </c>
    </row>
    <row r="247" spans="1:5" x14ac:dyDescent="0.3">
      <c r="A247" s="385">
        <f t="shared" si="10"/>
        <v>42975</v>
      </c>
      <c r="B247" s="380">
        <v>239</v>
      </c>
      <c r="C247" s="384">
        <f>+'P18'!$G$65</f>
        <v>0</v>
      </c>
      <c r="D247" s="386">
        <f t="shared" si="11"/>
        <v>1.3333333333333333</v>
      </c>
      <c r="E247" s="378">
        <f t="shared" si="12"/>
        <v>4</v>
      </c>
    </row>
    <row r="248" spans="1:5" ht="15.75" thickBot="1" x14ac:dyDescent="0.35">
      <c r="A248" s="385">
        <f t="shared" si="10"/>
        <v>42976</v>
      </c>
      <c r="B248" s="379">
        <v>240</v>
      </c>
      <c r="C248" s="384">
        <f>+'P18'!$H$65</f>
        <v>0</v>
      </c>
      <c r="D248" s="386">
        <f t="shared" si="11"/>
        <v>1.3333333333333333</v>
      </c>
      <c r="E248" s="378">
        <f t="shared" si="12"/>
        <v>4</v>
      </c>
    </row>
    <row r="249" spans="1:5" ht="15.75" thickBot="1" x14ac:dyDescent="0.35">
      <c r="A249" s="385">
        <f t="shared" si="10"/>
        <v>42977</v>
      </c>
      <c r="B249" s="379">
        <v>241</v>
      </c>
      <c r="C249" s="384">
        <f>+'P18'!$I$65</f>
        <v>0</v>
      </c>
      <c r="D249" s="386">
        <f t="shared" si="11"/>
        <v>1.3333333333333333</v>
      </c>
      <c r="E249" s="378">
        <f t="shared" si="12"/>
        <v>4</v>
      </c>
    </row>
    <row r="250" spans="1:5" x14ac:dyDescent="0.3">
      <c r="A250" s="385">
        <f t="shared" si="10"/>
        <v>42978</v>
      </c>
      <c r="B250" s="380">
        <v>242</v>
      </c>
      <c r="C250" s="384">
        <f>+'P18'!$J$65</f>
        <v>0</v>
      </c>
      <c r="D250" s="386">
        <f t="shared" si="11"/>
        <v>1.3333333333333333</v>
      </c>
      <c r="E250" s="378">
        <f t="shared" si="12"/>
        <v>4</v>
      </c>
    </row>
    <row r="251" spans="1:5" ht="15.75" thickBot="1" x14ac:dyDescent="0.35">
      <c r="A251" s="385">
        <f t="shared" si="10"/>
        <v>42979</v>
      </c>
      <c r="B251" s="379">
        <v>243</v>
      </c>
      <c r="C251" s="384">
        <f>+'P18'!$K$65</f>
        <v>0</v>
      </c>
      <c r="D251" s="386">
        <f t="shared" si="11"/>
        <v>1.3333333333333333</v>
      </c>
      <c r="E251" s="378">
        <f t="shared" si="12"/>
        <v>4</v>
      </c>
    </row>
    <row r="252" spans="1:5" ht="15.75" thickBot="1" x14ac:dyDescent="0.35">
      <c r="A252" s="385">
        <f t="shared" si="10"/>
        <v>42980</v>
      </c>
      <c r="B252" s="379">
        <v>244</v>
      </c>
      <c r="C252" s="384">
        <f>+'P18'!$L$65</f>
        <v>0</v>
      </c>
      <c r="D252" s="386">
        <f t="shared" si="11"/>
        <v>1.3333333333333333</v>
      </c>
      <c r="E252" s="378">
        <f t="shared" si="12"/>
        <v>4</v>
      </c>
    </row>
    <row r="253" spans="1:5" x14ac:dyDescent="0.3">
      <c r="A253" s="385">
        <f t="shared" si="10"/>
        <v>42981</v>
      </c>
      <c r="B253" s="380">
        <v>245</v>
      </c>
      <c r="C253" s="384">
        <f>+'P18'!$M$65</f>
        <v>0</v>
      </c>
      <c r="D253" s="386">
        <f t="shared" si="11"/>
        <v>1.3333333333333333</v>
      </c>
      <c r="E253" s="378">
        <f t="shared" si="12"/>
        <v>4</v>
      </c>
    </row>
    <row r="254" spans="1:5" ht="15.75" thickBot="1" x14ac:dyDescent="0.35">
      <c r="A254" s="385">
        <f t="shared" si="10"/>
        <v>42982</v>
      </c>
      <c r="B254" s="379">
        <v>246</v>
      </c>
      <c r="C254" s="384">
        <f>+'P18'!$P$65</f>
        <v>0</v>
      </c>
      <c r="D254" s="386">
        <f t="shared" si="11"/>
        <v>1.3333333333333333</v>
      </c>
      <c r="E254" s="378">
        <f t="shared" si="12"/>
        <v>4</v>
      </c>
    </row>
    <row r="255" spans="1:5" ht="15.75" thickBot="1" x14ac:dyDescent="0.35">
      <c r="A255" s="385">
        <f t="shared" si="10"/>
        <v>42983</v>
      </c>
      <c r="B255" s="379">
        <v>247</v>
      </c>
      <c r="C255" s="384">
        <f>+'P18'!$Q$65</f>
        <v>0.33333333333333331</v>
      </c>
      <c r="D255" s="386">
        <f t="shared" si="11"/>
        <v>1.6666666666666665</v>
      </c>
      <c r="E255" s="378">
        <f t="shared" si="12"/>
        <v>5</v>
      </c>
    </row>
    <row r="256" spans="1:5" x14ac:dyDescent="0.3">
      <c r="A256" s="385">
        <f t="shared" si="10"/>
        <v>42984</v>
      </c>
      <c r="B256" s="380">
        <v>248</v>
      </c>
      <c r="C256" s="384">
        <f>+'P18'!$R$65</f>
        <v>0</v>
      </c>
      <c r="D256" s="386">
        <f t="shared" si="11"/>
        <v>1.6666666666666665</v>
      </c>
      <c r="E256" s="378">
        <f t="shared" si="12"/>
        <v>5</v>
      </c>
    </row>
    <row r="257" spans="1:5" ht="15.75" thickBot="1" x14ac:dyDescent="0.35">
      <c r="A257" s="385">
        <f t="shared" si="10"/>
        <v>42985</v>
      </c>
      <c r="B257" s="379">
        <v>249</v>
      </c>
      <c r="C257" s="384">
        <f>+'P18'!$S$65</f>
        <v>0</v>
      </c>
      <c r="D257" s="386">
        <f t="shared" si="11"/>
        <v>1.6666666666666665</v>
      </c>
      <c r="E257" s="378">
        <f t="shared" si="12"/>
        <v>5</v>
      </c>
    </row>
    <row r="258" spans="1:5" ht="15.75" thickBot="1" x14ac:dyDescent="0.35">
      <c r="A258" s="385">
        <f t="shared" si="10"/>
        <v>42986</v>
      </c>
      <c r="B258" s="379">
        <v>250</v>
      </c>
      <c r="C258" s="384">
        <f>+'P18'!$T$65</f>
        <v>0</v>
      </c>
      <c r="D258" s="386">
        <f t="shared" si="11"/>
        <v>1.6666666666666665</v>
      </c>
      <c r="E258" s="378">
        <f t="shared" si="12"/>
        <v>5</v>
      </c>
    </row>
    <row r="259" spans="1:5" x14ac:dyDescent="0.3">
      <c r="A259" s="385">
        <f t="shared" si="10"/>
        <v>42987</v>
      </c>
      <c r="B259" s="380">
        <v>251</v>
      </c>
      <c r="C259" s="384">
        <f>+'P18'!$U$65</f>
        <v>0</v>
      </c>
      <c r="D259" s="386">
        <f t="shared" si="11"/>
        <v>1.6666666666666665</v>
      </c>
      <c r="E259" s="378">
        <f t="shared" si="12"/>
        <v>5</v>
      </c>
    </row>
    <row r="260" spans="1:5" ht="15.75" thickBot="1" x14ac:dyDescent="0.35">
      <c r="A260" s="385">
        <f t="shared" si="10"/>
        <v>42988</v>
      </c>
      <c r="B260" s="379">
        <v>252</v>
      </c>
      <c r="C260" s="384">
        <f>+'P18'!$V$65</f>
        <v>0</v>
      </c>
      <c r="D260" s="386">
        <f t="shared" si="11"/>
        <v>1.6666666666666665</v>
      </c>
      <c r="E260" s="378">
        <f t="shared" si="12"/>
        <v>5</v>
      </c>
    </row>
    <row r="261" spans="1:5" ht="15.75" thickBot="1" x14ac:dyDescent="0.35">
      <c r="A261" s="385">
        <f t="shared" si="10"/>
        <v>42989</v>
      </c>
      <c r="B261" s="379">
        <v>253</v>
      </c>
      <c r="C261" s="384">
        <f>+'P19'!$G$65</f>
        <v>0</v>
      </c>
      <c r="D261" s="386">
        <f t="shared" si="11"/>
        <v>1.6666666666666665</v>
      </c>
      <c r="E261" s="378">
        <f t="shared" si="12"/>
        <v>5</v>
      </c>
    </row>
    <row r="262" spans="1:5" x14ac:dyDescent="0.3">
      <c r="A262" s="385">
        <f t="shared" si="10"/>
        <v>42990</v>
      </c>
      <c r="B262" s="380">
        <v>254</v>
      </c>
      <c r="C262" s="384">
        <f>+'P19'!$H$65</f>
        <v>0</v>
      </c>
      <c r="D262" s="386">
        <f t="shared" si="11"/>
        <v>1.6666666666666665</v>
      </c>
      <c r="E262" s="378">
        <f t="shared" si="12"/>
        <v>5</v>
      </c>
    </row>
    <row r="263" spans="1:5" ht="15.75" thickBot="1" x14ac:dyDescent="0.35">
      <c r="A263" s="385">
        <f t="shared" si="10"/>
        <v>42991</v>
      </c>
      <c r="B263" s="379">
        <v>255</v>
      </c>
      <c r="C263" s="384">
        <f>+'P19'!$I$65</f>
        <v>0</v>
      </c>
      <c r="D263" s="386">
        <f t="shared" si="11"/>
        <v>1.6666666666666665</v>
      </c>
      <c r="E263" s="378">
        <f t="shared" si="12"/>
        <v>5</v>
      </c>
    </row>
    <row r="264" spans="1:5" ht="15.75" thickBot="1" x14ac:dyDescent="0.35">
      <c r="A264" s="385">
        <f t="shared" si="10"/>
        <v>42992</v>
      </c>
      <c r="B264" s="379">
        <v>256</v>
      </c>
      <c r="C264" s="384">
        <f>+'P19'!$J$65</f>
        <v>0</v>
      </c>
      <c r="D264" s="386">
        <f t="shared" si="11"/>
        <v>1.6666666666666665</v>
      </c>
      <c r="E264" s="378">
        <f t="shared" si="12"/>
        <v>5</v>
      </c>
    </row>
    <row r="265" spans="1:5" x14ac:dyDescent="0.3">
      <c r="A265" s="385">
        <f t="shared" si="10"/>
        <v>42993</v>
      </c>
      <c r="B265" s="380">
        <v>257</v>
      </c>
      <c r="C265" s="384">
        <f>+'P19'!$K$65</f>
        <v>0</v>
      </c>
      <c r="D265" s="386">
        <f t="shared" si="11"/>
        <v>1.6666666666666665</v>
      </c>
      <c r="E265" s="378">
        <f t="shared" si="12"/>
        <v>5</v>
      </c>
    </row>
    <row r="266" spans="1:5" ht="15.75" thickBot="1" x14ac:dyDescent="0.35">
      <c r="A266" s="385">
        <f t="shared" si="10"/>
        <v>42994</v>
      </c>
      <c r="B266" s="379">
        <v>258</v>
      </c>
      <c r="C266" s="384">
        <f>+'P19'!$L$65</f>
        <v>0</v>
      </c>
      <c r="D266" s="386">
        <f t="shared" si="11"/>
        <v>1.6666666666666665</v>
      </c>
      <c r="E266" s="378">
        <f t="shared" si="12"/>
        <v>5</v>
      </c>
    </row>
    <row r="267" spans="1:5" ht="15.75" thickBot="1" x14ac:dyDescent="0.35">
      <c r="A267" s="385">
        <f t="shared" ref="A267:A330" si="13">+A266+1</f>
        <v>42995</v>
      </c>
      <c r="B267" s="379">
        <v>259</v>
      </c>
      <c r="C267" s="384">
        <f>+'P19'!$M$65</f>
        <v>0</v>
      </c>
      <c r="D267" s="386">
        <f t="shared" ref="D267:D330" si="14">+C267+D266</f>
        <v>1.6666666666666665</v>
      </c>
      <c r="E267" s="378">
        <f t="shared" si="12"/>
        <v>5</v>
      </c>
    </row>
    <row r="268" spans="1:5" x14ac:dyDescent="0.3">
      <c r="A268" s="385">
        <f t="shared" si="13"/>
        <v>42996</v>
      </c>
      <c r="B268" s="380">
        <v>260</v>
      </c>
      <c r="C268" s="384">
        <f>+'P19'!$P$65</f>
        <v>0</v>
      </c>
      <c r="D268" s="386">
        <f t="shared" si="14"/>
        <v>1.6666666666666665</v>
      </c>
      <c r="E268" s="378">
        <f t="shared" si="12"/>
        <v>5</v>
      </c>
    </row>
    <row r="269" spans="1:5" ht="15.75" thickBot="1" x14ac:dyDescent="0.35">
      <c r="A269" s="385">
        <f t="shared" si="13"/>
        <v>42997</v>
      </c>
      <c r="B269" s="379">
        <v>261</v>
      </c>
      <c r="C269" s="384">
        <f>+'P19'!$Q$65</f>
        <v>0</v>
      </c>
      <c r="D269" s="386">
        <f t="shared" si="14"/>
        <v>1.6666666666666665</v>
      </c>
      <c r="E269" s="378">
        <f t="shared" si="12"/>
        <v>5</v>
      </c>
    </row>
    <row r="270" spans="1:5" ht="15.75" thickBot="1" x14ac:dyDescent="0.35">
      <c r="A270" s="385">
        <f t="shared" si="13"/>
        <v>42998</v>
      </c>
      <c r="B270" s="379">
        <v>262</v>
      </c>
      <c r="C270" s="384">
        <f>+'P19'!$R$65</f>
        <v>0</v>
      </c>
      <c r="D270" s="386">
        <f t="shared" si="14"/>
        <v>1.6666666666666665</v>
      </c>
      <c r="E270" s="378">
        <f t="shared" si="12"/>
        <v>5</v>
      </c>
    </row>
    <row r="271" spans="1:5" x14ac:dyDescent="0.3">
      <c r="A271" s="385">
        <f t="shared" si="13"/>
        <v>42999</v>
      </c>
      <c r="B271" s="380">
        <v>263</v>
      </c>
      <c r="C271" s="384">
        <f>+'P19'!$S$65</f>
        <v>0</v>
      </c>
      <c r="D271" s="386">
        <f t="shared" si="14"/>
        <v>1.6666666666666665</v>
      </c>
      <c r="E271" s="378">
        <f t="shared" si="12"/>
        <v>5</v>
      </c>
    </row>
    <row r="272" spans="1:5" ht="15.75" thickBot="1" x14ac:dyDescent="0.35">
      <c r="A272" s="385">
        <f t="shared" si="13"/>
        <v>43000</v>
      </c>
      <c r="B272" s="379">
        <v>264</v>
      </c>
      <c r="C272" s="384">
        <f>+'P19'!$T$65</f>
        <v>0</v>
      </c>
      <c r="D272" s="386">
        <f t="shared" si="14"/>
        <v>1.6666666666666665</v>
      </c>
      <c r="E272" s="378">
        <f t="shared" si="12"/>
        <v>5</v>
      </c>
    </row>
    <row r="273" spans="1:5" ht="15.75" thickBot="1" x14ac:dyDescent="0.35">
      <c r="A273" s="385">
        <f t="shared" si="13"/>
        <v>43001</v>
      </c>
      <c r="B273" s="379">
        <v>265</v>
      </c>
      <c r="C273" s="384">
        <f>+'P19'!$U$65</f>
        <v>0</v>
      </c>
      <c r="D273" s="386">
        <f t="shared" si="14"/>
        <v>1.6666666666666665</v>
      </c>
      <c r="E273" s="378">
        <f t="shared" si="12"/>
        <v>5</v>
      </c>
    </row>
    <row r="274" spans="1:5" x14ac:dyDescent="0.3">
      <c r="A274" s="385">
        <f t="shared" si="13"/>
        <v>43002</v>
      </c>
      <c r="B274" s="380">
        <v>266</v>
      </c>
      <c r="C274" s="384">
        <f>+'P19'!$V$65</f>
        <v>0</v>
      </c>
      <c r="D274" s="386">
        <f t="shared" si="14"/>
        <v>1.6666666666666665</v>
      </c>
      <c r="E274" s="378">
        <f t="shared" si="12"/>
        <v>5</v>
      </c>
    </row>
    <row r="275" spans="1:5" ht="15.75" thickBot="1" x14ac:dyDescent="0.35">
      <c r="A275" s="385">
        <f t="shared" si="13"/>
        <v>43003</v>
      </c>
      <c r="B275" s="379">
        <v>267</v>
      </c>
      <c r="C275" s="384">
        <f>+'P20'!$G$65</f>
        <v>0</v>
      </c>
      <c r="D275" s="386">
        <f t="shared" si="14"/>
        <v>1.6666666666666665</v>
      </c>
      <c r="E275" s="378">
        <f t="shared" si="12"/>
        <v>5</v>
      </c>
    </row>
    <row r="276" spans="1:5" ht="15.75" thickBot="1" x14ac:dyDescent="0.35">
      <c r="A276" s="385">
        <f t="shared" si="13"/>
        <v>43004</v>
      </c>
      <c r="B276" s="379">
        <v>268</v>
      </c>
      <c r="C276" s="384">
        <f>+'P20'!$H$65</f>
        <v>0</v>
      </c>
      <c r="D276" s="386">
        <f t="shared" si="14"/>
        <v>1.6666666666666665</v>
      </c>
      <c r="E276" s="378">
        <f t="shared" si="12"/>
        <v>5</v>
      </c>
    </row>
    <row r="277" spans="1:5" x14ac:dyDescent="0.3">
      <c r="A277" s="385">
        <f t="shared" si="13"/>
        <v>43005</v>
      </c>
      <c r="B277" s="380">
        <v>269</v>
      </c>
      <c r="C277" s="384">
        <f>+'P20'!$I$65</f>
        <v>0</v>
      </c>
      <c r="D277" s="386">
        <f t="shared" si="14"/>
        <v>1.6666666666666665</v>
      </c>
      <c r="E277" s="378">
        <f t="shared" si="12"/>
        <v>5</v>
      </c>
    </row>
    <row r="278" spans="1:5" ht="15.75" thickBot="1" x14ac:dyDescent="0.35">
      <c r="A278" s="385">
        <f t="shared" si="13"/>
        <v>43006</v>
      </c>
      <c r="B278" s="379">
        <v>270</v>
      </c>
      <c r="C278" s="384">
        <f>+'P20'!$J$65</f>
        <v>0</v>
      </c>
      <c r="D278" s="386">
        <f t="shared" si="14"/>
        <v>1.6666666666666665</v>
      </c>
      <c r="E278" s="378">
        <f t="shared" si="12"/>
        <v>5</v>
      </c>
    </row>
    <row r="279" spans="1:5" ht="15.75" thickBot="1" x14ac:dyDescent="0.35">
      <c r="A279" s="385">
        <f t="shared" si="13"/>
        <v>43007</v>
      </c>
      <c r="B279" s="379">
        <v>271</v>
      </c>
      <c r="C279" s="384">
        <f>+'P20'!$K$65</f>
        <v>0</v>
      </c>
      <c r="D279" s="386">
        <f t="shared" si="14"/>
        <v>1.6666666666666665</v>
      </c>
      <c r="E279" s="378">
        <f t="shared" si="12"/>
        <v>5</v>
      </c>
    </row>
    <row r="280" spans="1:5" x14ac:dyDescent="0.3">
      <c r="A280" s="385">
        <f t="shared" si="13"/>
        <v>43008</v>
      </c>
      <c r="B280" s="380">
        <v>272</v>
      </c>
      <c r="C280" s="384">
        <f>+'P20'!$L$65</f>
        <v>0</v>
      </c>
      <c r="D280" s="386">
        <f t="shared" si="14"/>
        <v>1.6666666666666665</v>
      </c>
      <c r="E280" s="378">
        <f t="shared" si="12"/>
        <v>5</v>
      </c>
    </row>
    <row r="281" spans="1:5" ht="15.75" thickBot="1" x14ac:dyDescent="0.35">
      <c r="A281" s="385">
        <f t="shared" si="13"/>
        <v>43009</v>
      </c>
      <c r="B281" s="379">
        <v>273</v>
      </c>
      <c r="C281" s="384">
        <f>+'P20'!$M$65</f>
        <v>0</v>
      </c>
      <c r="D281" s="386">
        <f t="shared" si="14"/>
        <v>1.6666666666666665</v>
      </c>
      <c r="E281" s="378">
        <f t="shared" si="12"/>
        <v>5</v>
      </c>
    </row>
    <row r="282" spans="1:5" ht="15.75" thickBot="1" x14ac:dyDescent="0.35">
      <c r="A282" s="385">
        <f t="shared" si="13"/>
        <v>43010</v>
      </c>
      <c r="B282" s="379">
        <v>274</v>
      </c>
      <c r="C282" s="384">
        <f>+'P20'!$P$65</f>
        <v>0</v>
      </c>
      <c r="D282" s="386">
        <f t="shared" si="14"/>
        <v>1.6666666666666665</v>
      </c>
      <c r="E282" s="378">
        <f t="shared" si="12"/>
        <v>5</v>
      </c>
    </row>
    <row r="283" spans="1:5" x14ac:dyDescent="0.3">
      <c r="A283" s="385">
        <f t="shared" si="13"/>
        <v>43011</v>
      </c>
      <c r="B283" s="380">
        <v>275</v>
      </c>
      <c r="C283" s="384">
        <f>+'P20'!$Q$65</f>
        <v>0</v>
      </c>
      <c r="D283" s="386">
        <f t="shared" si="14"/>
        <v>1.6666666666666665</v>
      </c>
      <c r="E283" s="378">
        <f t="shared" si="12"/>
        <v>5</v>
      </c>
    </row>
    <row r="284" spans="1:5" ht="15.75" thickBot="1" x14ac:dyDescent="0.35">
      <c r="A284" s="385">
        <f t="shared" si="13"/>
        <v>43012</v>
      </c>
      <c r="B284" s="379">
        <v>276</v>
      </c>
      <c r="C284" s="384">
        <f>+'P20'!$R$65</f>
        <v>0</v>
      </c>
      <c r="D284" s="386">
        <f t="shared" si="14"/>
        <v>1.6666666666666665</v>
      </c>
      <c r="E284" s="378">
        <f t="shared" si="12"/>
        <v>5</v>
      </c>
    </row>
    <row r="285" spans="1:5" ht="15.75" thickBot="1" x14ac:dyDescent="0.35">
      <c r="A285" s="385">
        <f t="shared" si="13"/>
        <v>43013</v>
      </c>
      <c r="B285" s="379">
        <v>277</v>
      </c>
      <c r="C285" s="384">
        <f>+'P20'!$S$65</f>
        <v>0</v>
      </c>
      <c r="D285" s="386">
        <f t="shared" si="14"/>
        <v>1.6666666666666665</v>
      </c>
      <c r="E285" s="378">
        <f t="shared" si="12"/>
        <v>5</v>
      </c>
    </row>
    <row r="286" spans="1:5" x14ac:dyDescent="0.3">
      <c r="A286" s="385">
        <f t="shared" si="13"/>
        <v>43014</v>
      </c>
      <c r="B286" s="380">
        <v>278</v>
      </c>
      <c r="C286" s="384">
        <f>+'P20'!$T$65</f>
        <v>0</v>
      </c>
      <c r="D286" s="386">
        <f t="shared" si="14"/>
        <v>1.6666666666666665</v>
      </c>
      <c r="E286" s="378">
        <f t="shared" si="12"/>
        <v>5</v>
      </c>
    </row>
    <row r="287" spans="1:5" ht="15.75" thickBot="1" x14ac:dyDescent="0.35">
      <c r="A287" s="385">
        <f t="shared" si="13"/>
        <v>43015</v>
      </c>
      <c r="B287" s="379">
        <v>279</v>
      </c>
      <c r="C287" s="384">
        <f>+'P20'!$U$65</f>
        <v>0</v>
      </c>
      <c r="D287" s="386">
        <f t="shared" si="14"/>
        <v>1.6666666666666665</v>
      </c>
      <c r="E287" s="378">
        <f t="shared" si="12"/>
        <v>5</v>
      </c>
    </row>
    <row r="288" spans="1:5" ht="15.75" thickBot="1" x14ac:dyDescent="0.35">
      <c r="A288" s="385">
        <f t="shared" si="13"/>
        <v>43016</v>
      </c>
      <c r="B288" s="379">
        <v>280</v>
      </c>
      <c r="C288" s="384">
        <f>+'P20'!$V$65</f>
        <v>0</v>
      </c>
      <c r="D288" s="386">
        <f t="shared" si="14"/>
        <v>1.6666666666666665</v>
      </c>
      <c r="E288" s="378">
        <f t="shared" si="12"/>
        <v>5</v>
      </c>
    </row>
    <row r="289" spans="1:5" x14ac:dyDescent="0.3">
      <c r="A289" s="385">
        <f t="shared" si="13"/>
        <v>43017</v>
      </c>
      <c r="B289" s="380">
        <v>281</v>
      </c>
      <c r="C289" s="384">
        <f>+'P21'!$G$65</f>
        <v>0</v>
      </c>
      <c r="D289" s="386">
        <f t="shared" si="14"/>
        <v>1.6666666666666665</v>
      </c>
      <c r="E289" s="378">
        <f t="shared" si="12"/>
        <v>5</v>
      </c>
    </row>
    <row r="290" spans="1:5" ht="15.75" thickBot="1" x14ac:dyDescent="0.35">
      <c r="A290" s="385">
        <f t="shared" si="13"/>
        <v>43018</v>
      </c>
      <c r="B290" s="379">
        <v>282</v>
      </c>
      <c r="C290" s="384">
        <f>+'P21'!$H$65</f>
        <v>0.33333333333333331</v>
      </c>
      <c r="D290" s="386">
        <f t="shared" si="14"/>
        <v>1.9999999999999998</v>
      </c>
      <c r="E290" s="378">
        <f t="shared" si="12"/>
        <v>6</v>
      </c>
    </row>
    <row r="291" spans="1:5" ht="15.75" thickBot="1" x14ac:dyDescent="0.35">
      <c r="A291" s="385">
        <f t="shared" si="13"/>
        <v>43019</v>
      </c>
      <c r="B291" s="379">
        <v>283</v>
      </c>
      <c r="C291" s="384">
        <f>+'P21'!$I$65</f>
        <v>0</v>
      </c>
      <c r="D291" s="386">
        <f t="shared" si="14"/>
        <v>1.9999999999999998</v>
      </c>
      <c r="E291" s="378">
        <f t="shared" si="12"/>
        <v>6</v>
      </c>
    </row>
    <row r="292" spans="1:5" x14ac:dyDescent="0.3">
      <c r="A292" s="385">
        <f t="shared" si="13"/>
        <v>43020</v>
      </c>
      <c r="B292" s="380">
        <v>284</v>
      </c>
      <c r="C292" s="384">
        <f>+'P21'!$J$65</f>
        <v>0</v>
      </c>
      <c r="D292" s="386">
        <f t="shared" si="14"/>
        <v>1.9999999999999998</v>
      </c>
      <c r="E292" s="378">
        <f t="shared" si="12"/>
        <v>6</v>
      </c>
    </row>
    <row r="293" spans="1:5" ht="15.75" thickBot="1" x14ac:dyDescent="0.35">
      <c r="A293" s="385">
        <f t="shared" si="13"/>
        <v>43021</v>
      </c>
      <c r="B293" s="379">
        <v>285</v>
      </c>
      <c r="C293" s="384">
        <f>+'P21'!$K$65</f>
        <v>0</v>
      </c>
      <c r="D293" s="386">
        <f t="shared" si="14"/>
        <v>1.9999999999999998</v>
      </c>
      <c r="E293" s="378">
        <f t="shared" ref="E293:E356" si="15">IF(C293&gt;0,E292+1,E292)</f>
        <v>6</v>
      </c>
    </row>
    <row r="294" spans="1:5" ht="15.75" thickBot="1" x14ac:dyDescent="0.35">
      <c r="A294" s="385">
        <f t="shared" si="13"/>
        <v>43022</v>
      </c>
      <c r="B294" s="379">
        <v>286</v>
      </c>
      <c r="C294" s="384">
        <f>+'P21'!$L$65</f>
        <v>0</v>
      </c>
      <c r="D294" s="386">
        <f t="shared" si="14"/>
        <v>1.9999999999999998</v>
      </c>
      <c r="E294" s="378">
        <f t="shared" si="15"/>
        <v>6</v>
      </c>
    </row>
    <row r="295" spans="1:5" x14ac:dyDescent="0.3">
      <c r="A295" s="385">
        <f t="shared" si="13"/>
        <v>43023</v>
      </c>
      <c r="B295" s="380">
        <v>287</v>
      </c>
      <c r="C295" s="384">
        <f>+'P21'!$M$65</f>
        <v>0</v>
      </c>
      <c r="D295" s="386">
        <f t="shared" si="14"/>
        <v>1.9999999999999998</v>
      </c>
      <c r="E295" s="378">
        <f t="shared" si="15"/>
        <v>6</v>
      </c>
    </row>
    <row r="296" spans="1:5" ht="15.75" thickBot="1" x14ac:dyDescent="0.35">
      <c r="A296" s="385">
        <f t="shared" si="13"/>
        <v>43024</v>
      </c>
      <c r="B296" s="379">
        <v>288</v>
      </c>
      <c r="C296" s="384">
        <f>+'P21'!$P$65</f>
        <v>0</v>
      </c>
      <c r="D296" s="386">
        <f t="shared" si="14"/>
        <v>1.9999999999999998</v>
      </c>
      <c r="E296" s="378">
        <f t="shared" si="15"/>
        <v>6</v>
      </c>
    </row>
    <row r="297" spans="1:5" ht="15.75" thickBot="1" x14ac:dyDescent="0.35">
      <c r="A297" s="385">
        <f t="shared" si="13"/>
        <v>43025</v>
      </c>
      <c r="B297" s="379">
        <v>289</v>
      </c>
      <c r="C297" s="384">
        <f>+'P21'!$Q$65</f>
        <v>0</v>
      </c>
      <c r="D297" s="386">
        <f t="shared" si="14"/>
        <v>1.9999999999999998</v>
      </c>
      <c r="E297" s="378">
        <f t="shared" si="15"/>
        <v>6</v>
      </c>
    </row>
    <row r="298" spans="1:5" x14ac:dyDescent="0.3">
      <c r="A298" s="385">
        <f t="shared" si="13"/>
        <v>43026</v>
      </c>
      <c r="B298" s="380">
        <v>290</v>
      </c>
      <c r="C298" s="384">
        <f>+'P21'!$R$65</f>
        <v>0</v>
      </c>
      <c r="D298" s="386">
        <f t="shared" si="14"/>
        <v>1.9999999999999998</v>
      </c>
      <c r="E298" s="378">
        <f t="shared" si="15"/>
        <v>6</v>
      </c>
    </row>
    <row r="299" spans="1:5" ht="15.75" thickBot="1" x14ac:dyDescent="0.35">
      <c r="A299" s="385">
        <f t="shared" si="13"/>
        <v>43027</v>
      </c>
      <c r="B299" s="379">
        <v>291</v>
      </c>
      <c r="C299" s="384">
        <f>+'P21'!$S$65</f>
        <v>0</v>
      </c>
      <c r="D299" s="386">
        <f t="shared" si="14"/>
        <v>1.9999999999999998</v>
      </c>
      <c r="E299" s="378">
        <f t="shared" si="15"/>
        <v>6</v>
      </c>
    </row>
    <row r="300" spans="1:5" ht="15.75" thickBot="1" x14ac:dyDescent="0.35">
      <c r="A300" s="385">
        <f t="shared" si="13"/>
        <v>43028</v>
      </c>
      <c r="B300" s="379">
        <v>292</v>
      </c>
      <c r="C300" s="384">
        <f>+'P21'!$T$65</f>
        <v>0</v>
      </c>
      <c r="D300" s="386">
        <f t="shared" si="14"/>
        <v>1.9999999999999998</v>
      </c>
      <c r="E300" s="378">
        <f t="shared" si="15"/>
        <v>6</v>
      </c>
    </row>
    <row r="301" spans="1:5" x14ac:dyDescent="0.3">
      <c r="A301" s="385">
        <f t="shared" si="13"/>
        <v>43029</v>
      </c>
      <c r="B301" s="380">
        <v>293</v>
      </c>
      <c r="C301" s="384">
        <f>+'P21'!$U$65</f>
        <v>0</v>
      </c>
      <c r="D301" s="386">
        <f t="shared" si="14"/>
        <v>1.9999999999999998</v>
      </c>
      <c r="E301" s="378">
        <f t="shared" si="15"/>
        <v>6</v>
      </c>
    </row>
    <row r="302" spans="1:5" ht="15.75" thickBot="1" x14ac:dyDescent="0.35">
      <c r="A302" s="385">
        <f t="shared" si="13"/>
        <v>43030</v>
      </c>
      <c r="B302" s="379">
        <v>294</v>
      </c>
      <c r="C302" s="384">
        <f>+'P21'!$V$65</f>
        <v>0</v>
      </c>
      <c r="D302" s="386">
        <f t="shared" si="14"/>
        <v>1.9999999999999998</v>
      </c>
      <c r="E302" s="378">
        <f t="shared" si="15"/>
        <v>6</v>
      </c>
    </row>
    <row r="303" spans="1:5" ht="15.75" thickBot="1" x14ac:dyDescent="0.35">
      <c r="A303" s="385">
        <f t="shared" si="13"/>
        <v>43031</v>
      </c>
      <c r="B303" s="379">
        <v>295</v>
      </c>
      <c r="C303" s="384">
        <f>+'P22'!$G$65</f>
        <v>0</v>
      </c>
      <c r="D303" s="386">
        <f t="shared" si="14"/>
        <v>1.9999999999999998</v>
      </c>
      <c r="E303" s="378">
        <f t="shared" si="15"/>
        <v>6</v>
      </c>
    </row>
    <row r="304" spans="1:5" x14ac:dyDescent="0.3">
      <c r="A304" s="385">
        <f t="shared" si="13"/>
        <v>43032</v>
      </c>
      <c r="B304" s="380">
        <v>296</v>
      </c>
      <c r="C304" s="384">
        <f>+'P22'!$H$65</f>
        <v>0</v>
      </c>
      <c r="D304" s="386">
        <f t="shared" si="14"/>
        <v>1.9999999999999998</v>
      </c>
      <c r="E304" s="378">
        <f t="shared" si="15"/>
        <v>6</v>
      </c>
    </row>
    <row r="305" spans="1:5" ht="15.75" thickBot="1" x14ac:dyDescent="0.35">
      <c r="A305" s="385">
        <f t="shared" si="13"/>
        <v>43033</v>
      </c>
      <c r="B305" s="379">
        <v>297</v>
      </c>
      <c r="C305" s="384">
        <f>+'P22'!$I$65</f>
        <v>0</v>
      </c>
      <c r="D305" s="386">
        <f t="shared" si="14"/>
        <v>1.9999999999999998</v>
      </c>
      <c r="E305" s="378">
        <f t="shared" si="15"/>
        <v>6</v>
      </c>
    </row>
    <row r="306" spans="1:5" ht="15.75" thickBot="1" x14ac:dyDescent="0.35">
      <c r="A306" s="385">
        <f t="shared" si="13"/>
        <v>43034</v>
      </c>
      <c r="B306" s="379">
        <v>298</v>
      </c>
      <c r="C306" s="384">
        <f>+'P22'!$J$65</f>
        <v>0</v>
      </c>
      <c r="D306" s="386">
        <f t="shared" si="14"/>
        <v>1.9999999999999998</v>
      </c>
      <c r="E306" s="378">
        <f t="shared" si="15"/>
        <v>6</v>
      </c>
    </row>
    <row r="307" spans="1:5" x14ac:dyDescent="0.3">
      <c r="A307" s="385">
        <f t="shared" si="13"/>
        <v>43035</v>
      </c>
      <c r="B307" s="380">
        <v>299</v>
      </c>
      <c r="C307" s="384">
        <f>+'P22'!$K$65</f>
        <v>0</v>
      </c>
      <c r="D307" s="386">
        <f t="shared" si="14"/>
        <v>1.9999999999999998</v>
      </c>
      <c r="E307" s="378">
        <f t="shared" si="15"/>
        <v>6</v>
      </c>
    </row>
    <row r="308" spans="1:5" ht="15.75" thickBot="1" x14ac:dyDescent="0.35">
      <c r="A308" s="385">
        <f t="shared" si="13"/>
        <v>43036</v>
      </c>
      <c r="B308" s="379">
        <v>300</v>
      </c>
      <c r="C308" s="384">
        <f>+'P22'!$L$65</f>
        <v>0</v>
      </c>
      <c r="D308" s="386">
        <f t="shared" si="14"/>
        <v>1.9999999999999998</v>
      </c>
      <c r="E308" s="378">
        <f t="shared" si="15"/>
        <v>6</v>
      </c>
    </row>
    <row r="309" spans="1:5" ht="15.75" thickBot="1" x14ac:dyDescent="0.35">
      <c r="A309" s="385">
        <f t="shared" si="13"/>
        <v>43037</v>
      </c>
      <c r="B309" s="379">
        <v>301</v>
      </c>
      <c r="C309" s="384">
        <f>+'P22'!$M$65</f>
        <v>0</v>
      </c>
      <c r="D309" s="386">
        <f t="shared" si="14"/>
        <v>1.9999999999999998</v>
      </c>
      <c r="E309" s="378">
        <f t="shared" si="15"/>
        <v>6</v>
      </c>
    </row>
    <row r="310" spans="1:5" x14ac:dyDescent="0.3">
      <c r="A310" s="385">
        <f t="shared" si="13"/>
        <v>43038</v>
      </c>
      <c r="B310" s="380">
        <v>302</v>
      </c>
      <c r="C310" s="384">
        <f>+'P22'!$P$65</f>
        <v>0</v>
      </c>
      <c r="D310" s="386">
        <f t="shared" si="14"/>
        <v>1.9999999999999998</v>
      </c>
      <c r="E310" s="378">
        <f t="shared" si="15"/>
        <v>6</v>
      </c>
    </row>
    <row r="311" spans="1:5" ht="15.75" thickBot="1" x14ac:dyDescent="0.35">
      <c r="A311" s="385">
        <f t="shared" si="13"/>
        <v>43039</v>
      </c>
      <c r="B311" s="379">
        <v>303</v>
      </c>
      <c r="C311" s="384">
        <f>+'P22'!$Q$65</f>
        <v>0</v>
      </c>
      <c r="D311" s="386">
        <f t="shared" si="14"/>
        <v>1.9999999999999998</v>
      </c>
      <c r="E311" s="378">
        <f t="shared" si="15"/>
        <v>6</v>
      </c>
    </row>
    <row r="312" spans="1:5" ht="15.75" thickBot="1" x14ac:dyDescent="0.35">
      <c r="A312" s="385">
        <f t="shared" si="13"/>
        <v>43040</v>
      </c>
      <c r="B312" s="379">
        <v>304</v>
      </c>
      <c r="C312" s="384">
        <f>+'P22'!$R$65</f>
        <v>0</v>
      </c>
      <c r="D312" s="386">
        <f t="shared" si="14"/>
        <v>1.9999999999999998</v>
      </c>
      <c r="E312" s="378">
        <f t="shared" si="15"/>
        <v>6</v>
      </c>
    </row>
    <row r="313" spans="1:5" x14ac:dyDescent="0.3">
      <c r="A313" s="385">
        <f t="shared" si="13"/>
        <v>43041</v>
      </c>
      <c r="B313" s="380">
        <v>305</v>
      </c>
      <c r="C313" s="384">
        <f>+'P22'!$S$65</f>
        <v>0</v>
      </c>
      <c r="D313" s="386">
        <f t="shared" si="14"/>
        <v>1.9999999999999998</v>
      </c>
      <c r="E313" s="378">
        <f t="shared" si="15"/>
        <v>6</v>
      </c>
    </row>
    <row r="314" spans="1:5" ht="15.75" thickBot="1" x14ac:dyDescent="0.35">
      <c r="A314" s="385">
        <f t="shared" si="13"/>
        <v>43042</v>
      </c>
      <c r="B314" s="379">
        <v>306</v>
      </c>
      <c r="C314" s="384">
        <f>+'P22'!$T$65</f>
        <v>0</v>
      </c>
      <c r="D314" s="386">
        <f t="shared" si="14"/>
        <v>1.9999999999999998</v>
      </c>
      <c r="E314" s="378">
        <f t="shared" si="15"/>
        <v>6</v>
      </c>
    </row>
    <row r="315" spans="1:5" ht="15.75" thickBot="1" x14ac:dyDescent="0.35">
      <c r="A315" s="385">
        <f t="shared" si="13"/>
        <v>43043</v>
      </c>
      <c r="B315" s="379">
        <v>307</v>
      </c>
      <c r="C315" s="384">
        <f>+'P22'!$U$65</f>
        <v>0</v>
      </c>
      <c r="D315" s="386">
        <f t="shared" si="14"/>
        <v>1.9999999999999998</v>
      </c>
      <c r="E315" s="378">
        <f t="shared" si="15"/>
        <v>6</v>
      </c>
    </row>
    <row r="316" spans="1:5" x14ac:dyDescent="0.3">
      <c r="A316" s="385">
        <f t="shared" si="13"/>
        <v>43044</v>
      </c>
      <c r="B316" s="380">
        <v>308</v>
      </c>
      <c r="C316" s="384">
        <f>+'P22'!$V$65</f>
        <v>0</v>
      </c>
      <c r="D316" s="386">
        <f t="shared" si="14"/>
        <v>1.9999999999999998</v>
      </c>
      <c r="E316" s="378">
        <f t="shared" si="15"/>
        <v>6</v>
      </c>
    </row>
    <row r="317" spans="1:5" ht="15.75" thickBot="1" x14ac:dyDescent="0.35">
      <c r="A317" s="385">
        <f t="shared" si="13"/>
        <v>43045</v>
      </c>
      <c r="B317" s="379">
        <v>309</v>
      </c>
      <c r="C317" s="384">
        <f>+'P23'!$G$65</f>
        <v>0</v>
      </c>
      <c r="D317" s="386">
        <f t="shared" si="14"/>
        <v>1.9999999999999998</v>
      </c>
      <c r="E317" s="378">
        <f t="shared" si="15"/>
        <v>6</v>
      </c>
    </row>
    <row r="318" spans="1:5" ht="15.75" thickBot="1" x14ac:dyDescent="0.35">
      <c r="A318" s="385">
        <f t="shared" si="13"/>
        <v>43046</v>
      </c>
      <c r="B318" s="379">
        <v>310</v>
      </c>
      <c r="C318" s="384">
        <f>+'P23'!$H$65</f>
        <v>0</v>
      </c>
      <c r="D318" s="386">
        <f t="shared" si="14"/>
        <v>1.9999999999999998</v>
      </c>
      <c r="E318" s="378">
        <f t="shared" si="15"/>
        <v>6</v>
      </c>
    </row>
    <row r="319" spans="1:5" x14ac:dyDescent="0.3">
      <c r="A319" s="385">
        <f t="shared" si="13"/>
        <v>43047</v>
      </c>
      <c r="B319" s="380">
        <v>311</v>
      </c>
      <c r="C319" s="384">
        <f>+'P23'!$I$65</f>
        <v>0</v>
      </c>
      <c r="D319" s="386">
        <f t="shared" si="14"/>
        <v>1.9999999999999998</v>
      </c>
      <c r="E319" s="378">
        <f t="shared" si="15"/>
        <v>6</v>
      </c>
    </row>
    <row r="320" spans="1:5" ht="15.75" thickBot="1" x14ac:dyDescent="0.35">
      <c r="A320" s="385">
        <f t="shared" si="13"/>
        <v>43048</v>
      </c>
      <c r="B320" s="379">
        <v>312</v>
      </c>
      <c r="C320" s="384">
        <f>+'P23'!$J$65</f>
        <v>0</v>
      </c>
      <c r="D320" s="386">
        <f t="shared" si="14"/>
        <v>1.9999999999999998</v>
      </c>
      <c r="E320" s="378">
        <f t="shared" si="15"/>
        <v>6</v>
      </c>
    </row>
    <row r="321" spans="1:5" ht="15.75" thickBot="1" x14ac:dyDescent="0.35">
      <c r="A321" s="385">
        <f t="shared" si="13"/>
        <v>43049</v>
      </c>
      <c r="B321" s="379">
        <v>313</v>
      </c>
      <c r="C321" s="384">
        <f>+'P23'!$K$65</f>
        <v>0.33333333333333331</v>
      </c>
      <c r="D321" s="386">
        <f t="shared" si="14"/>
        <v>2.333333333333333</v>
      </c>
      <c r="E321" s="378">
        <f t="shared" si="15"/>
        <v>7</v>
      </c>
    </row>
    <row r="322" spans="1:5" x14ac:dyDescent="0.3">
      <c r="A322" s="385">
        <f t="shared" si="13"/>
        <v>43050</v>
      </c>
      <c r="B322" s="380">
        <v>314</v>
      </c>
      <c r="C322" s="384">
        <f>+'P23'!$L$65</f>
        <v>0</v>
      </c>
      <c r="D322" s="386">
        <f t="shared" si="14"/>
        <v>2.333333333333333</v>
      </c>
      <c r="E322" s="378">
        <f t="shared" si="15"/>
        <v>7</v>
      </c>
    </row>
    <row r="323" spans="1:5" ht="15.75" thickBot="1" x14ac:dyDescent="0.35">
      <c r="A323" s="385">
        <f t="shared" si="13"/>
        <v>43051</v>
      </c>
      <c r="B323" s="379">
        <v>315</v>
      </c>
      <c r="C323" s="384">
        <f>+'P23'!$M$65</f>
        <v>0</v>
      </c>
      <c r="D323" s="386">
        <f t="shared" si="14"/>
        <v>2.333333333333333</v>
      </c>
      <c r="E323" s="378">
        <f t="shared" si="15"/>
        <v>7</v>
      </c>
    </row>
    <row r="324" spans="1:5" ht="15.75" thickBot="1" x14ac:dyDescent="0.35">
      <c r="A324" s="385">
        <f t="shared" si="13"/>
        <v>43052</v>
      </c>
      <c r="B324" s="379">
        <v>316</v>
      </c>
      <c r="C324" s="384">
        <f>+'P23'!$P$65</f>
        <v>0</v>
      </c>
      <c r="D324" s="386">
        <f t="shared" si="14"/>
        <v>2.333333333333333</v>
      </c>
      <c r="E324" s="378">
        <f t="shared" si="15"/>
        <v>7</v>
      </c>
    </row>
    <row r="325" spans="1:5" x14ac:dyDescent="0.3">
      <c r="A325" s="385">
        <f t="shared" si="13"/>
        <v>43053</v>
      </c>
      <c r="B325" s="380">
        <v>317</v>
      </c>
      <c r="C325" s="384">
        <f>+'P23'!$Q$65</f>
        <v>0</v>
      </c>
      <c r="D325" s="386">
        <f t="shared" si="14"/>
        <v>2.333333333333333</v>
      </c>
      <c r="E325" s="378">
        <f t="shared" si="15"/>
        <v>7</v>
      </c>
    </row>
    <row r="326" spans="1:5" ht="15.75" thickBot="1" x14ac:dyDescent="0.35">
      <c r="A326" s="385">
        <f t="shared" si="13"/>
        <v>43054</v>
      </c>
      <c r="B326" s="379">
        <v>318</v>
      </c>
      <c r="C326" s="384">
        <f>+'P23'!$R$65</f>
        <v>0</v>
      </c>
      <c r="D326" s="386">
        <f t="shared" si="14"/>
        <v>2.333333333333333</v>
      </c>
      <c r="E326" s="378">
        <f t="shared" si="15"/>
        <v>7</v>
      </c>
    </row>
    <row r="327" spans="1:5" ht="15.75" thickBot="1" x14ac:dyDescent="0.35">
      <c r="A327" s="385">
        <f t="shared" si="13"/>
        <v>43055</v>
      </c>
      <c r="B327" s="379">
        <v>319</v>
      </c>
      <c r="C327" s="384">
        <f>+'P23'!$S$65</f>
        <v>0</v>
      </c>
      <c r="D327" s="386">
        <f t="shared" si="14"/>
        <v>2.333333333333333</v>
      </c>
      <c r="E327" s="378">
        <f t="shared" si="15"/>
        <v>7</v>
      </c>
    </row>
    <row r="328" spans="1:5" x14ac:dyDescent="0.3">
      <c r="A328" s="385">
        <f t="shared" si="13"/>
        <v>43056</v>
      </c>
      <c r="B328" s="380">
        <v>320</v>
      </c>
      <c r="C328" s="384">
        <f>+'P23'!$T$65</f>
        <v>0</v>
      </c>
      <c r="D328" s="386">
        <f t="shared" si="14"/>
        <v>2.333333333333333</v>
      </c>
      <c r="E328" s="378">
        <f t="shared" si="15"/>
        <v>7</v>
      </c>
    </row>
    <row r="329" spans="1:5" ht="15.75" thickBot="1" x14ac:dyDescent="0.35">
      <c r="A329" s="385">
        <f t="shared" si="13"/>
        <v>43057</v>
      </c>
      <c r="B329" s="379">
        <v>321</v>
      </c>
      <c r="C329" s="384">
        <f>+'P23'!$U$65</f>
        <v>0</v>
      </c>
      <c r="D329" s="386">
        <f t="shared" si="14"/>
        <v>2.333333333333333</v>
      </c>
      <c r="E329" s="378">
        <f t="shared" si="15"/>
        <v>7</v>
      </c>
    </row>
    <row r="330" spans="1:5" ht="15.75" thickBot="1" x14ac:dyDescent="0.35">
      <c r="A330" s="385">
        <f t="shared" si="13"/>
        <v>43058</v>
      </c>
      <c r="B330" s="379">
        <v>322</v>
      </c>
      <c r="C330" s="384">
        <f>+'P23'!$V$65</f>
        <v>0</v>
      </c>
      <c r="D330" s="386">
        <f t="shared" si="14"/>
        <v>2.333333333333333</v>
      </c>
      <c r="E330" s="378">
        <f t="shared" si="15"/>
        <v>7</v>
      </c>
    </row>
    <row r="331" spans="1:5" x14ac:dyDescent="0.3">
      <c r="A331" s="385">
        <f t="shared" ref="A331:A373" si="16">+A330+1</f>
        <v>43059</v>
      </c>
      <c r="B331" s="380">
        <v>323</v>
      </c>
      <c r="C331" s="384">
        <f>+'P24'!$G$65</f>
        <v>0</v>
      </c>
      <c r="D331" s="386">
        <f t="shared" ref="D331:D372" si="17">+C331+D330</f>
        <v>2.333333333333333</v>
      </c>
      <c r="E331" s="378">
        <f t="shared" si="15"/>
        <v>7</v>
      </c>
    </row>
    <row r="332" spans="1:5" ht="15.75" thickBot="1" x14ac:dyDescent="0.35">
      <c r="A332" s="385">
        <f t="shared" si="16"/>
        <v>43060</v>
      </c>
      <c r="B332" s="379">
        <v>324</v>
      </c>
      <c r="C332" s="384">
        <f>+'P24'!$H$65</f>
        <v>0</v>
      </c>
      <c r="D332" s="386">
        <f t="shared" si="17"/>
        <v>2.333333333333333</v>
      </c>
      <c r="E332" s="378">
        <f t="shared" si="15"/>
        <v>7</v>
      </c>
    </row>
    <row r="333" spans="1:5" ht="15.75" thickBot="1" x14ac:dyDescent="0.35">
      <c r="A333" s="385">
        <f t="shared" si="16"/>
        <v>43061</v>
      </c>
      <c r="B333" s="379">
        <v>325</v>
      </c>
      <c r="C333" s="384">
        <f>+'P24'!$I$65</f>
        <v>0</v>
      </c>
      <c r="D333" s="386">
        <f t="shared" si="17"/>
        <v>2.333333333333333</v>
      </c>
      <c r="E333" s="378">
        <f t="shared" si="15"/>
        <v>7</v>
      </c>
    </row>
    <row r="334" spans="1:5" x14ac:dyDescent="0.3">
      <c r="A334" s="385">
        <f t="shared" si="16"/>
        <v>43062</v>
      </c>
      <c r="B334" s="380">
        <v>326</v>
      </c>
      <c r="C334" s="384">
        <f>+'P24'!$J$65</f>
        <v>0</v>
      </c>
      <c r="D334" s="386">
        <f t="shared" si="17"/>
        <v>2.333333333333333</v>
      </c>
      <c r="E334" s="378">
        <f t="shared" si="15"/>
        <v>7</v>
      </c>
    </row>
    <row r="335" spans="1:5" ht="15.75" thickBot="1" x14ac:dyDescent="0.35">
      <c r="A335" s="385">
        <f t="shared" si="16"/>
        <v>43063</v>
      </c>
      <c r="B335" s="379">
        <v>327</v>
      </c>
      <c r="C335" s="384">
        <f>+'P24'!$K$65</f>
        <v>0.33333333333333331</v>
      </c>
      <c r="D335" s="386">
        <f t="shared" si="17"/>
        <v>2.6666666666666665</v>
      </c>
      <c r="E335" s="378">
        <f t="shared" si="15"/>
        <v>8</v>
      </c>
    </row>
    <row r="336" spans="1:5" ht="15.75" thickBot="1" x14ac:dyDescent="0.35">
      <c r="A336" s="385">
        <f t="shared" si="16"/>
        <v>43064</v>
      </c>
      <c r="B336" s="379">
        <v>328</v>
      </c>
      <c r="C336" s="384">
        <f>+'P24'!$L$65</f>
        <v>0</v>
      </c>
      <c r="D336" s="386">
        <f t="shared" si="17"/>
        <v>2.6666666666666665</v>
      </c>
      <c r="E336" s="378">
        <f t="shared" si="15"/>
        <v>8</v>
      </c>
    </row>
    <row r="337" spans="1:5" x14ac:dyDescent="0.3">
      <c r="A337" s="385">
        <f t="shared" si="16"/>
        <v>43065</v>
      </c>
      <c r="B337" s="380">
        <v>329</v>
      </c>
      <c r="C337" s="384">
        <f>+'P24'!$M$65</f>
        <v>0</v>
      </c>
      <c r="D337" s="386">
        <f t="shared" si="17"/>
        <v>2.6666666666666665</v>
      </c>
      <c r="E337" s="378">
        <f t="shared" si="15"/>
        <v>8</v>
      </c>
    </row>
    <row r="338" spans="1:5" ht="15.75" thickBot="1" x14ac:dyDescent="0.35">
      <c r="A338" s="385">
        <f t="shared" si="16"/>
        <v>43066</v>
      </c>
      <c r="B338" s="379">
        <v>330</v>
      </c>
      <c r="C338" s="384">
        <f>+'P24'!$P$65</f>
        <v>0</v>
      </c>
      <c r="D338" s="386">
        <f t="shared" si="17"/>
        <v>2.6666666666666665</v>
      </c>
      <c r="E338" s="378">
        <f t="shared" si="15"/>
        <v>8</v>
      </c>
    </row>
    <row r="339" spans="1:5" ht="15.75" thickBot="1" x14ac:dyDescent="0.35">
      <c r="A339" s="385">
        <f t="shared" si="16"/>
        <v>43067</v>
      </c>
      <c r="B339" s="379">
        <v>331</v>
      </c>
      <c r="C339" s="384">
        <f>+'P24'!$Q$65</f>
        <v>0</v>
      </c>
      <c r="D339" s="386">
        <f t="shared" si="17"/>
        <v>2.6666666666666665</v>
      </c>
      <c r="E339" s="378">
        <f t="shared" si="15"/>
        <v>8</v>
      </c>
    </row>
    <row r="340" spans="1:5" x14ac:dyDescent="0.3">
      <c r="A340" s="385">
        <f t="shared" si="16"/>
        <v>43068</v>
      </c>
      <c r="B340" s="380">
        <v>332</v>
      </c>
      <c r="C340" s="384">
        <f>+'P24'!$R$65</f>
        <v>0</v>
      </c>
      <c r="D340" s="386">
        <f t="shared" si="17"/>
        <v>2.6666666666666665</v>
      </c>
      <c r="E340" s="378">
        <f t="shared" si="15"/>
        <v>8</v>
      </c>
    </row>
    <row r="341" spans="1:5" ht="15.75" thickBot="1" x14ac:dyDescent="0.35">
      <c r="A341" s="385">
        <f t="shared" si="16"/>
        <v>43069</v>
      </c>
      <c r="B341" s="379">
        <v>333</v>
      </c>
      <c r="C341" s="384">
        <f>+'P24'!$S$65</f>
        <v>0</v>
      </c>
      <c r="D341" s="386">
        <f t="shared" si="17"/>
        <v>2.6666666666666665</v>
      </c>
      <c r="E341" s="378">
        <f t="shared" si="15"/>
        <v>8</v>
      </c>
    </row>
    <row r="342" spans="1:5" ht="15.75" thickBot="1" x14ac:dyDescent="0.35">
      <c r="A342" s="385">
        <f t="shared" si="16"/>
        <v>43070</v>
      </c>
      <c r="B342" s="379">
        <v>334</v>
      </c>
      <c r="C342" s="384">
        <f>+'P24'!$T$65</f>
        <v>0</v>
      </c>
      <c r="D342" s="386">
        <f t="shared" si="17"/>
        <v>2.6666666666666665</v>
      </c>
      <c r="E342" s="378">
        <f t="shared" si="15"/>
        <v>8</v>
      </c>
    </row>
    <row r="343" spans="1:5" x14ac:dyDescent="0.3">
      <c r="A343" s="385">
        <f t="shared" si="16"/>
        <v>43071</v>
      </c>
      <c r="B343" s="380">
        <v>335</v>
      </c>
      <c r="C343" s="384">
        <f>+'P24'!$U$65</f>
        <v>0</v>
      </c>
      <c r="D343" s="386">
        <f t="shared" si="17"/>
        <v>2.6666666666666665</v>
      </c>
      <c r="E343" s="378">
        <f t="shared" si="15"/>
        <v>8</v>
      </c>
    </row>
    <row r="344" spans="1:5" ht="15.75" thickBot="1" x14ac:dyDescent="0.35">
      <c r="A344" s="385">
        <f t="shared" si="16"/>
        <v>43072</v>
      </c>
      <c r="B344" s="379">
        <v>336</v>
      </c>
      <c r="C344" s="384">
        <f>+'P24'!$V$65</f>
        <v>0</v>
      </c>
      <c r="D344" s="386">
        <f t="shared" si="17"/>
        <v>2.6666666666666665</v>
      </c>
      <c r="E344" s="378">
        <f t="shared" si="15"/>
        <v>8</v>
      </c>
    </row>
    <row r="345" spans="1:5" ht="15.75" thickBot="1" x14ac:dyDescent="0.35">
      <c r="A345" s="385">
        <f t="shared" si="16"/>
        <v>43073</v>
      </c>
      <c r="B345" s="379">
        <v>337</v>
      </c>
      <c r="C345" s="384">
        <f>+'P25'!$G$65</f>
        <v>0</v>
      </c>
      <c r="D345" s="386">
        <f t="shared" si="17"/>
        <v>2.6666666666666665</v>
      </c>
      <c r="E345" s="378">
        <f t="shared" si="15"/>
        <v>8</v>
      </c>
    </row>
    <row r="346" spans="1:5" x14ac:dyDescent="0.3">
      <c r="A346" s="385">
        <f t="shared" si="16"/>
        <v>43074</v>
      </c>
      <c r="B346" s="380">
        <v>338</v>
      </c>
      <c r="C346" s="384">
        <f>+'P25'!$H$65</f>
        <v>0</v>
      </c>
      <c r="D346" s="386">
        <f t="shared" si="17"/>
        <v>2.6666666666666665</v>
      </c>
      <c r="E346" s="378">
        <f t="shared" si="15"/>
        <v>8</v>
      </c>
    </row>
    <row r="347" spans="1:5" ht="15.75" thickBot="1" x14ac:dyDescent="0.35">
      <c r="A347" s="385">
        <f t="shared" si="16"/>
        <v>43075</v>
      </c>
      <c r="B347" s="379">
        <v>339</v>
      </c>
      <c r="C347" s="384">
        <f>+'P25'!$I$65</f>
        <v>0</v>
      </c>
      <c r="D347" s="386">
        <f t="shared" si="17"/>
        <v>2.6666666666666665</v>
      </c>
      <c r="E347" s="378">
        <f t="shared" si="15"/>
        <v>8</v>
      </c>
    </row>
    <row r="348" spans="1:5" ht="15.75" thickBot="1" x14ac:dyDescent="0.35">
      <c r="A348" s="385">
        <f t="shared" si="16"/>
        <v>43076</v>
      </c>
      <c r="B348" s="379">
        <v>340</v>
      </c>
      <c r="C348" s="384">
        <f>+'P25'!$J$65</f>
        <v>0</v>
      </c>
      <c r="D348" s="386">
        <f t="shared" si="17"/>
        <v>2.6666666666666665</v>
      </c>
      <c r="E348" s="378">
        <f t="shared" si="15"/>
        <v>8</v>
      </c>
    </row>
    <row r="349" spans="1:5" x14ac:dyDescent="0.3">
      <c r="A349" s="385">
        <f t="shared" si="16"/>
        <v>43077</v>
      </c>
      <c r="B349" s="380">
        <v>341</v>
      </c>
      <c r="C349" s="384">
        <f>+'P25'!$K$65</f>
        <v>0</v>
      </c>
      <c r="D349" s="386">
        <f t="shared" si="17"/>
        <v>2.6666666666666665</v>
      </c>
      <c r="E349" s="378">
        <f t="shared" si="15"/>
        <v>8</v>
      </c>
    </row>
    <row r="350" spans="1:5" ht="15.75" thickBot="1" x14ac:dyDescent="0.35">
      <c r="A350" s="385">
        <f t="shared" si="16"/>
        <v>43078</v>
      </c>
      <c r="B350" s="379">
        <v>342</v>
      </c>
      <c r="C350" s="384">
        <f>+'P25'!$L$65</f>
        <v>0</v>
      </c>
      <c r="D350" s="386">
        <f t="shared" si="17"/>
        <v>2.6666666666666665</v>
      </c>
      <c r="E350" s="378">
        <f t="shared" si="15"/>
        <v>8</v>
      </c>
    </row>
    <row r="351" spans="1:5" ht="15.75" thickBot="1" x14ac:dyDescent="0.35">
      <c r="A351" s="385">
        <f t="shared" si="16"/>
        <v>43079</v>
      </c>
      <c r="B351" s="379">
        <v>343</v>
      </c>
      <c r="C351" s="384">
        <f>+'P25'!$M$65</f>
        <v>0</v>
      </c>
      <c r="D351" s="386">
        <f t="shared" si="17"/>
        <v>2.6666666666666665</v>
      </c>
      <c r="E351" s="378">
        <f t="shared" si="15"/>
        <v>8</v>
      </c>
    </row>
    <row r="352" spans="1:5" x14ac:dyDescent="0.3">
      <c r="A352" s="385">
        <f t="shared" si="16"/>
        <v>43080</v>
      </c>
      <c r="B352" s="380">
        <v>344</v>
      </c>
      <c r="C352" s="384">
        <f>+'P25'!$P$65</f>
        <v>0</v>
      </c>
      <c r="D352" s="386">
        <f t="shared" si="17"/>
        <v>2.6666666666666665</v>
      </c>
      <c r="E352" s="378">
        <f t="shared" si="15"/>
        <v>8</v>
      </c>
    </row>
    <row r="353" spans="1:5" ht="15.75" thickBot="1" x14ac:dyDescent="0.35">
      <c r="A353" s="385">
        <f t="shared" si="16"/>
        <v>43081</v>
      </c>
      <c r="B353" s="379">
        <v>345</v>
      </c>
      <c r="C353" s="384">
        <f>+'P25'!$Q$65</f>
        <v>0</v>
      </c>
      <c r="D353" s="386">
        <f t="shared" si="17"/>
        <v>2.6666666666666665</v>
      </c>
      <c r="E353" s="378">
        <f t="shared" si="15"/>
        <v>8</v>
      </c>
    </row>
    <row r="354" spans="1:5" ht="15.75" thickBot="1" x14ac:dyDescent="0.35">
      <c r="A354" s="385">
        <f t="shared" si="16"/>
        <v>43082</v>
      </c>
      <c r="B354" s="379">
        <v>346</v>
      </c>
      <c r="C354" s="384">
        <f>+'P25'!$R$65</f>
        <v>0</v>
      </c>
      <c r="D354" s="386">
        <f t="shared" si="17"/>
        <v>2.6666666666666665</v>
      </c>
      <c r="E354" s="378">
        <f t="shared" si="15"/>
        <v>8</v>
      </c>
    </row>
    <row r="355" spans="1:5" x14ac:dyDescent="0.3">
      <c r="A355" s="385">
        <f t="shared" si="16"/>
        <v>43083</v>
      </c>
      <c r="B355" s="380">
        <v>347</v>
      </c>
      <c r="C355" s="384">
        <f>+'P25'!$S$65</f>
        <v>0</v>
      </c>
      <c r="D355" s="386">
        <f t="shared" si="17"/>
        <v>2.6666666666666665</v>
      </c>
      <c r="E355" s="378">
        <f t="shared" si="15"/>
        <v>8</v>
      </c>
    </row>
    <row r="356" spans="1:5" ht="15.75" thickBot="1" x14ac:dyDescent="0.35">
      <c r="A356" s="385">
        <f t="shared" si="16"/>
        <v>43084</v>
      </c>
      <c r="B356" s="379">
        <v>348</v>
      </c>
      <c r="C356" s="384">
        <f>+'P25'!$T$65</f>
        <v>0</v>
      </c>
      <c r="D356" s="386">
        <f t="shared" si="17"/>
        <v>2.6666666666666665</v>
      </c>
      <c r="E356" s="378">
        <f t="shared" si="15"/>
        <v>8</v>
      </c>
    </row>
    <row r="357" spans="1:5" ht="15.75" thickBot="1" x14ac:dyDescent="0.35">
      <c r="A357" s="385">
        <f t="shared" si="16"/>
        <v>43085</v>
      </c>
      <c r="B357" s="379">
        <v>349</v>
      </c>
      <c r="C357" s="384">
        <f>+'P25'!$U$65</f>
        <v>0</v>
      </c>
      <c r="D357" s="386">
        <f t="shared" si="17"/>
        <v>2.6666666666666665</v>
      </c>
      <c r="E357" s="378">
        <f t="shared" ref="E357:E372" si="18">IF(C357&gt;0,E356+1,E356)</f>
        <v>8</v>
      </c>
    </row>
    <row r="358" spans="1:5" x14ac:dyDescent="0.3">
      <c r="A358" s="385">
        <f t="shared" si="16"/>
        <v>43086</v>
      </c>
      <c r="B358" s="380">
        <v>350</v>
      </c>
      <c r="C358" s="384">
        <f>+'P25'!$V$65</f>
        <v>0</v>
      </c>
      <c r="D358" s="386">
        <f t="shared" si="17"/>
        <v>2.6666666666666665</v>
      </c>
      <c r="E358" s="378">
        <f t="shared" si="18"/>
        <v>8</v>
      </c>
    </row>
    <row r="359" spans="1:5" ht="15.75" thickBot="1" x14ac:dyDescent="0.35">
      <c r="A359" s="385">
        <f t="shared" si="16"/>
        <v>43087</v>
      </c>
      <c r="B359" s="379">
        <v>351</v>
      </c>
      <c r="C359" s="384">
        <f>+'P26'!$G$65</f>
        <v>0</v>
      </c>
      <c r="D359" s="386">
        <f t="shared" si="17"/>
        <v>2.6666666666666665</v>
      </c>
      <c r="E359" s="378">
        <f t="shared" si="18"/>
        <v>8</v>
      </c>
    </row>
    <row r="360" spans="1:5" ht="15.75" thickBot="1" x14ac:dyDescent="0.35">
      <c r="A360" s="385">
        <f t="shared" si="16"/>
        <v>43088</v>
      </c>
      <c r="B360" s="379">
        <v>352</v>
      </c>
      <c r="C360" s="384">
        <f>+'P26'!$H$65</f>
        <v>0</v>
      </c>
      <c r="D360" s="386">
        <f t="shared" si="17"/>
        <v>2.6666666666666665</v>
      </c>
      <c r="E360" s="378">
        <f t="shared" si="18"/>
        <v>8</v>
      </c>
    </row>
    <row r="361" spans="1:5" x14ac:dyDescent="0.3">
      <c r="A361" s="385">
        <f t="shared" si="16"/>
        <v>43089</v>
      </c>
      <c r="B361" s="380">
        <v>353</v>
      </c>
      <c r="C361" s="384">
        <f>+'P26'!$I$65</f>
        <v>0</v>
      </c>
      <c r="D361" s="386">
        <f t="shared" si="17"/>
        <v>2.6666666666666665</v>
      </c>
      <c r="E361" s="378">
        <f t="shared" si="18"/>
        <v>8</v>
      </c>
    </row>
    <row r="362" spans="1:5" ht="15.75" thickBot="1" x14ac:dyDescent="0.35">
      <c r="A362" s="385">
        <f t="shared" si="16"/>
        <v>43090</v>
      </c>
      <c r="B362" s="379">
        <v>354</v>
      </c>
      <c r="C362" s="384">
        <f>+'P26'!$J$65</f>
        <v>0</v>
      </c>
      <c r="D362" s="386">
        <f t="shared" si="17"/>
        <v>2.6666666666666665</v>
      </c>
      <c r="E362" s="378">
        <f t="shared" si="18"/>
        <v>8</v>
      </c>
    </row>
    <row r="363" spans="1:5" ht="15.75" thickBot="1" x14ac:dyDescent="0.35">
      <c r="A363" s="385">
        <f t="shared" si="16"/>
        <v>43091</v>
      </c>
      <c r="B363" s="379">
        <v>355</v>
      </c>
      <c r="C363" s="384">
        <f>+'P26'!$K$65</f>
        <v>0</v>
      </c>
      <c r="D363" s="386">
        <f t="shared" si="17"/>
        <v>2.6666666666666665</v>
      </c>
      <c r="E363" s="378">
        <f t="shared" si="18"/>
        <v>8</v>
      </c>
    </row>
    <row r="364" spans="1:5" x14ac:dyDescent="0.3">
      <c r="A364" s="385">
        <f t="shared" si="16"/>
        <v>43092</v>
      </c>
      <c r="B364" s="380">
        <v>356</v>
      </c>
      <c r="C364" s="384">
        <f>+'P26'!$L$65</f>
        <v>0.33333333333333331</v>
      </c>
      <c r="D364" s="386">
        <f t="shared" si="17"/>
        <v>3</v>
      </c>
      <c r="E364" s="378">
        <f t="shared" si="18"/>
        <v>9</v>
      </c>
    </row>
    <row r="365" spans="1:5" ht="15.75" thickBot="1" x14ac:dyDescent="0.35">
      <c r="A365" s="385">
        <f t="shared" si="16"/>
        <v>43093</v>
      </c>
      <c r="B365" s="379">
        <v>357</v>
      </c>
      <c r="C365" s="384">
        <f>+'P26'!$M$65</f>
        <v>0</v>
      </c>
      <c r="D365" s="386">
        <f t="shared" si="17"/>
        <v>3</v>
      </c>
      <c r="E365" s="378">
        <f t="shared" si="18"/>
        <v>9</v>
      </c>
    </row>
    <row r="366" spans="1:5" ht="15.75" thickBot="1" x14ac:dyDescent="0.35">
      <c r="A366" s="385">
        <f t="shared" si="16"/>
        <v>43094</v>
      </c>
      <c r="B366" s="379">
        <v>358</v>
      </c>
      <c r="C366" s="384">
        <f>+'P26'!$P$65</f>
        <v>0</v>
      </c>
      <c r="D366" s="386">
        <f t="shared" si="17"/>
        <v>3</v>
      </c>
      <c r="E366" s="378">
        <f t="shared" si="18"/>
        <v>9</v>
      </c>
    </row>
    <row r="367" spans="1:5" x14ac:dyDescent="0.3">
      <c r="A367" s="385">
        <f t="shared" si="16"/>
        <v>43095</v>
      </c>
      <c r="B367" s="380">
        <v>359</v>
      </c>
      <c r="C367" s="384">
        <f>+'P26'!$Q$65</f>
        <v>0</v>
      </c>
      <c r="D367" s="386">
        <f t="shared" si="17"/>
        <v>3</v>
      </c>
      <c r="E367" s="378">
        <f t="shared" si="18"/>
        <v>9</v>
      </c>
    </row>
    <row r="368" spans="1:5" ht="15.75" thickBot="1" x14ac:dyDescent="0.35">
      <c r="A368" s="385">
        <f t="shared" si="16"/>
        <v>43096</v>
      </c>
      <c r="B368" s="379">
        <v>360</v>
      </c>
      <c r="C368" s="384">
        <f>+'P26'!$R$65</f>
        <v>0</v>
      </c>
      <c r="D368" s="386">
        <f t="shared" si="17"/>
        <v>3</v>
      </c>
      <c r="E368" s="378">
        <f t="shared" si="18"/>
        <v>9</v>
      </c>
    </row>
    <row r="369" spans="1:5" ht="15.75" thickBot="1" x14ac:dyDescent="0.35">
      <c r="A369" s="385">
        <f t="shared" si="16"/>
        <v>43097</v>
      </c>
      <c r="B369" s="379">
        <v>361</v>
      </c>
      <c r="C369" s="384">
        <f>+'P26'!$S$65</f>
        <v>0</v>
      </c>
      <c r="D369" s="386">
        <f t="shared" si="17"/>
        <v>3</v>
      </c>
      <c r="E369" s="378">
        <f t="shared" si="18"/>
        <v>9</v>
      </c>
    </row>
    <row r="370" spans="1:5" x14ac:dyDescent="0.3">
      <c r="A370" s="385">
        <f t="shared" si="16"/>
        <v>43098</v>
      </c>
      <c r="B370" s="380">
        <v>362</v>
      </c>
      <c r="C370" s="384">
        <f>+'P26'!$T$65</f>
        <v>0</v>
      </c>
      <c r="D370" s="386">
        <f t="shared" si="17"/>
        <v>3</v>
      </c>
      <c r="E370" s="378">
        <f t="shared" si="18"/>
        <v>9</v>
      </c>
    </row>
    <row r="371" spans="1:5" ht="15.75" thickBot="1" x14ac:dyDescent="0.35">
      <c r="A371" s="385">
        <f t="shared" si="16"/>
        <v>43099</v>
      </c>
      <c r="B371" s="379">
        <v>363</v>
      </c>
      <c r="C371" s="384">
        <f>+'P26'!$U$65</f>
        <v>0.33333333333333331</v>
      </c>
      <c r="D371" s="386">
        <f t="shared" si="17"/>
        <v>3.3333333333333335</v>
      </c>
      <c r="E371" s="378">
        <f t="shared" si="18"/>
        <v>10</v>
      </c>
    </row>
    <row r="372" spans="1:5" ht="15.75" thickBot="1" x14ac:dyDescent="0.35">
      <c r="A372" s="385">
        <f t="shared" si="16"/>
        <v>43100</v>
      </c>
      <c r="B372" s="379">
        <v>364</v>
      </c>
      <c r="C372" s="384">
        <f>+'P26'!$V$65</f>
        <v>0</v>
      </c>
      <c r="D372" s="386">
        <f t="shared" si="17"/>
        <v>3.3333333333333335</v>
      </c>
      <c r="E372" s="378">
        <f t="shared" si="18"/>
        <v>10</v>
      </c>
    </row>
    <row r="373" spans="1:5" x14ac:dyDescent="0.3">
      <c r="A373" s="385">
        <f t="shared" si="16"/>
        <v>43101</v>
      </c>
      <c r="B373" s="380">
        <v>365</v>
      </c>
      <c r="C373" s="384"/>
      <c r="D373" s="384"/>
    </row>
    <row r="374" spans="1:5" ht="16.55" customHeight="1" x14ac:dyDescent="0.3">
      <c r="C374" s="383"/>
    </row>
  </sheetData>
  <mergeCells count="16">
    <mergeCell ref="A1:N1"/>
    <mergeCell ref="A2:N2"/>
    <mergeCell ref="A3:N3"/>
    <mergeCell ref="A4:C4"/>
    <mergeCell ref="D4:G4"/>
    <mergeCell ref="H4:J4"/>
    <mergeCell ref="K4:N4"/>
    <mergeCell ref="A5:C5"/>
    <mergeCell ref="D5:G5"/>
    <mergeCell ref="H5:J5"/>
    <mergeCell ref="K5:N5"/>
    <mergeCell ref="A6:A7"/>
    <mergeCell ref="B6:B7"/>
    <mergeCell ref="C6:C7"/>
    <mergeCell ref="D6:D7"/>
    <mergeCell ref="E6:E7"/>
  </mergeCells>
  <pageMargins left="0.7" right="0"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dimension ref="A1:O380"/>
  <sheetViews>
    <sheetView workbookViewId="0">
      <pane ySplit="7" topLeftCell="A8" activePane="bottomLeft" state="frozen"/>
      <selection pane="bottomLeft" activeCell="B16" sqref="B16"/>
    </sheetView>
  </sheetViews>
  <sheetFormatPr defaultColWidth="9.125" defaultRowHeight="15.05" x14ac:dyDescent="0.3"/>
  <cols>
    <col min="1" max="1" width="1" style="378" customWidth="1"/>
    <col min="2" max="2" width="32.125" style="378" customWidth="1"/>
    <col min="3" max="3" width="9.125" style="378"/>
    <col min="4" max="4" width="10.875" style="378" customWidth="1"/>
    <col min="5" max="16384" width="9.125" style="378"/>
  </cols>
  <sheetData>
    <row r="1" spans="1:15" ht="18" customHeight="1" x14ac:dyDescent="0.3">
      <c r="B1" s="421" t="s">
        <v>191</v>
      </c>
      <c r="C1" s="422"/>
      <c r="D1" s="422"/>
      <c r="E1" s="422"/>
      <c r="F1" s="422"/>
      <c r="G1" s="422"/>
      <c r="H1" s="422"/>
      <c r="I1" s="422"/>
      <c r="J1" s="422"/>
      <c r="K1" s="422"/>
      <c r="L1" s="422"/>
      <c r="M1" s="422"/>
      <c r="N1" s="422"/>
      <c r="O1" s="423"/>
    </row>
    <row r="2" spans="1:15" ht="18" customHeight="1" x14ac:dyDescent="0.3">
      <c r="B2" s="424" t="s">
        <v>192</v>
      </c>
      <c r="C2" s="425"/>
      <c r="D2" s="425"/>
      <c r="E2" s="425"/>
      <c r="F2" s="425"/>
      <c r="G2" s="425"/>
      <c r="H2" s="425"/>
      <c r="I2" s="425"/>
      <c r="J2" s="425"/>
      <c r="K2" s="425"/>
      <c r="L2" s="425"/>
      <c r="M2" s="425"/>
      <c r="N2" s="425"/>
      <c r="O2" s="426"/>
    </row>
    <row r="3" spans="1:15" ht="18.350000000000001" thickBot="1" x14ac:dyDescent="0.35">
      <c r="B3" s="427"/>
      <c r="C3" s="428"/>
      <c r="D3" s="428"/>
      <c r="E3" s="428"/>
      <c r="F3" s="428"/>
      <c r="G3" s="428"/>
      <c r="H3" s="428"/>
      <c r="I3" s="428"/>
      <c r="J3" s="428"/>
      <c r="K3" s="428"/>
      <c r="L3" s="428"/>
      <c r="M3" s="428"/>
      <c r="N3" s="428"/>
      <c r="O3" s="429"/>
    </row>
    <row r="4" spans="1:15" ht="16.55" customHeight="1" thickBot="1" x14ac:dyDescent="0.35">
      <c r="B4" s="410" t="s">
        <v>193</v>
      </c>
      <c r="C4" s="411"/>
      <c r="D4" s="411"/>
      <c r="E4" s="455">
        <f>+LATrackerALL!D4</f>
        <v>42735</v>
      </c>
      <c r="F4" s="456"/>
      <c r="G4" s="456"/>
      <c r="H4" s="457"/>
      <c r="I4" s="410" t="s">
        <v>194</v>
      </c>
      <c r="J4" s="411"/>
      <c r="K4" s="411"/>
      <c r="L4" s="455">
        <f>+LATrackerALL!K4</f>
        <v>43464</v>
      </c>
      <c r="M4" s="456"/>
      <c r="N4" s="456"/>
      <c r="O4" s="457"/>
    </row>
    <row r="5" spans="1:15" ht="16.55" customHeight="1" thickBot="1" x14ac:dyDescent="0.35">
      <c r="B5" s="410" t="s">
        <v>195</v>
      </c>
      <c r="C5" s="411"/>
      <c r="D5" s="411"/>
      <c r="E5" s="433" t="str">
        <f>+LATrackerALL!D5</f>
        <v>XXXXXX</v>
      </c>
      <c r="F5" s="433"/>
      <c r="G5" s="433"/>
      <c r="H5" s="434"/>
      <c r="I5" s="410" t="s">
        <v>196</v>
      </c>
      <c r="J5" s="411"/>
      <c r="K5" s="411"/>
      <c r="L5" s="433" t="str">
        <f>+LATrackerALL!K5</f>
        <v>Firstname Lastname</v>
      </c>
      <c r="M5" s="411"/>
      <c r="N5" s="411"/>
      <c r="O5" s="416"/>
    </row>
    <row r="6" spans="1:15" ht="10.5" customHeight="1" thickBot="1" x14ac:dyDescent="0.35">
      <c r="B6" s="388"/>
      <c r="C6" s="389"/>
      <c r="D6" s="389"/>
      <c r="E6" s="390"/>
      <c r="F6" s="389"/>
      <c r="G6" s="391"/>
      <c r="H6" s="391"/>
      <c r="I6" s="392"/>
      <c r="J6" s="391"/>
      <c r="K6" s="391"/>
      <c r="L6" s="392"/>
      <c r="M6" s="391"/>
      <c r="N6" s="391"/>
      <c r="O6" s="391"/>
    </row>
    <row r="7" spans="1:15" ht="68.25" customHeight="1" thickBot="1" x14ac:dyDescent="0.35">
      <c r="B7" s="399" t="s">
        <v>209</v>
      </c>
      <c r="C7" s="394" t="s">
        <v>206</v>
      </c>
      <c r="D7" s="394" t="s">
        <v>211</v>
      </c>
      <c r="E7" s="394" t="s">
        <v>205</v>
      </c>
      <c r="K7" s="405" t="s">
        <v>218</v>
      </c>
    </row>
    <row r="8" spans="1:15" ht="16.55" hidden="1" customHeight="1" thickBot="1" x14ac:dyDescent="0.35">
      <c r="A8" s="378" t="str">
        <f ca="1">IF(TODAY()&gt;=B8,"==&gt;","")</f>
        <v>==&gt;</v>
      </c>
      <c r="B8" s="395">
        <f>+LATrackerALL!A9</f>
        <v>42737</v>
      </c>
      <c r="C8" s="396">
        <f>+LATrackerALL!E9</f>
        <v>0</v>
      </c>
      <c r="D8" s="397">
        <f>+LATrackerALL!C9</f>
        <v>0</v>
      </c>
      <c r="E8" s="398">
        <f>+LATrackerALL!D9</f>
        <v>0</v>
      </c>
      <c r="F8" s="391"/>
      <c r="G8" s="391"/>
      <c r="H8" s="392"/>
      <c r="I8" s="391"/>
      <c r="J8" s="391"/>
      <c r="K8" s="392"/>
      <c r="L8" s="391"/>
      <c r="M8" s="391"/>
      <c r="N8" s="391"/>
    </row>
    <row r="9" spans="1:15" ht="16.55" hidden="1" customHeight="1" thickBot="1" x14ac:dyDescent="0.35">
      <c r="A9" s="378" t="str">
        <f t="shared" ref="A9:A72" ca="1" si="0">IF(TODAY()&gt;=B9,"==&gt;","")</f>
        <v>==&gt;</v>
      </c>
      <c r="B9" s="395">
        <f>+LATrackerALL!A10</f>
        <v>42738</v>
      </c>
      <c r="C9" s="396">
        <f>+LATrackerALL!E10</f>
        <v>0</v>
      </c>
      <c r="D9" s="397">
        <f>+LATrackerALL!C10</f>
        <v>0</v>
      </c>
      <c r="E9" s="398">
        <f>+LATrackerALL!D10</f>
        <v>0</v>
      </c>
      <c r="F9" s="391"/>
      <c r="G9" s="391"/>
      <c r="H9" s="392"/>
      <c r="I9" s="391"/>
      <c r="J9" s="391"/>
      <c r="K9" s="392"/>
      <c r="L9" s="391"/>
      <c r="M9" s="391"/>
      <c r="N9" s="391"/>
    </row>
    <row r="10" spans="1:15" ht="16.55" hidden="1" customHeight="1" thickBot="1" x14ac:dyDescent="0.35">
      <c r="A10" s="378" t="str">
        <f t="shared" ca="1" si="0"/>
        <v>==&gt;</v>
      </c>
      <c r="B10" s="395">
        <f>+LATrackerALL!A11</f>
        <v>42739</v>
      </c>
      <c r="C10" s="396">
        <f>+LATrackerALL!E11</f>
        <v>0</v>
      </c>
      <c r="D10" s="397">
        <f>+LATrackerALL!C11</f>
        <v>0</v>
      </c>
      <c r="E10" s="398">
        <f>+LATrackerALL!D11</f>
        <v>0</v>
      </c>
      <c r="F10" s="391"/>
      <c r="G10" s="391"/>
      <c r="H10" s="392"/>
      <c r="I10" s="391"/>
      <c r="J10" s="391"/>
      <c r="K10" s="392"/>
      <c r="L10" s="391"/>
      <c r="M10" s="391"/>
      <c r="N10" s="391"/>
    </row>
    <row r="11" spans="1:15" ht="16.55" hidden="1" customHeight="1" thickBot="1" x14ac:dyDescent="0.35">
      <c r="A11" s="378" t="str">
        <f t="shared" ca="1" si="0"/>
        <v>==&gt;</v>
      </c>
      <c r="B11" s="395">
        <f>+LATrackerALL!A12</f>
        <v>42740</v>
      </c>
      <c r="C11" s="396">
        <f>+LATrackerALL!E12</f>
        <v>0</v>
      </c>
      <c r="D11" s="397">
        <f>+LATrackerALL!C12</f>
        <v>0</v>
      </c>
      <c r="E11" s="398">
        <f>+LATrackerALL!D12</f>
        <v>0</v>
      </c>
      <c r="F11" s="391"/>
      <c r="G11" s="391"/>
      <c r="H11" s="392"/>
      <c r="I11" s="391"/>
      <c r="J11" s="391"/>
      <c r="K11" s="392"/>
      <c r="L11" s="391"/>
      <c r="M11" s="391"/>
      <c r="N11" s="391"/>
    </row>
    <row r="12" spans="1:15" ht="16.55" hidden="1" customHeight="1" thickBot="1" x14ac:dyDescent="0.35">
      <c r="A12" s="378" t="str">
        <f t="shared" ca="1" si="0"/>
        <v>==&gt;</v>
      </c>
      <c r="B12" s="395">
        <f>+LATrackerALL!A13</f>
        <v>42741</v>
      </c>
      <c r="C12" s="396">
        <f>+LATrackerALL!E13</f>
        <v>0</v>
      </c>
      <c r="D12" s="397">
        <f>+LATrackerALL!C13</f>
        <v>0</v>
      </c>
      <c r="E12" s="398">
        <f>+LATrackerALL!D13</f>
        <v>0</v>
      </c>
      <c r="F12" s="391"/>
      <c r="G12" s="391"/>
      <c r="H12" s="392"/>
      <c r="I12" s="391"/>
      <c r="J12" s="391"/>
      <c r="K12" s="392"/>
      <c r="L12" s="391"/>
      <c r="M12" s="391"/>
      <c r="N12" s="391"/>
    </row>
    <row r="13" spans="1:15" ht="16.55" hidden="1" customHeight="1" thickBot="1" x14ac:dyDescent="0.35">
      <c r="A13" s="378" t="str">
        <f t="shared" ca="1" si="0"/>
        <v>==&gt;</v>
      </c>
      <c r="B13" s="395">
        <f>+LATrackerALL!A14</f>
        <v>42742</v>
      </c>
      <c r="C13" s="396">
        <f>+LATrackerALL!E14</f>
        <v>0</v>
      </c>
      <c r="D13" s="397">
        <f>+LATrackerALL!C14</f>
        <v>0</v>
      </c>
      <c r="E13" s="398">
        <f>+LATrackerALL!D14</f>
        <v>0</v>
      </c>
      <c r="F13" s="391"/>
      <c r="G13" s="391"/>
      <c r="H13" s="392"/>
      <c r="I13" s="391"/>
      <c r="J13" s="391"/>
      <c r="K13" s="392"/>
      <c r="L13" s="391"/>
      <c r="M13" s="391"/>
      <c r="N13" s="391"/>
    </row>
    <row r="14" spans="1:15" ht="16.55" hidden="1" customHeight="1" thickBot="1" x14ac:dyDescent="0.35">
      <c r="A14" s="378" t="str">
        <f t="shared" ca="1" si="0"/>
        <v>==&gt;</v>
      </c>
      <c r="B14" s="395">
        <f>+LATrackerALL!A15</f>
        <v>42743</v>
      </c>
      <c r="C14" s="396">
        <f>+LATrackerALL!E15</f>
        <v>0</v>
      </c>
      <c r="D14" s="397">
        <f>+LATrackerALL!C15</f>
        <v>0</v>
      </c>
      <c r="E14" s="398">
        <f>+LATrackerALL!D15</f>
        <v>0</v>
      </c>
      <c r="F14" s="391"/>
      <c r="G14" s="391"/>
      <c r="H14" s="392"/>
      <c r="I14" s="391"/>
      <c r="J14" s="391"/>
      <c r="K14" s="392"/>
      <c r="L14" s="391"/>
      <c r="M14" s="391"/>
      <c r="N14" s="391"/>
    </row>
    <row r="15" spans="1:15" ht="16.55" hidden="1" customHeight="1" thickBot="1" x14ac:dyDescent="0.35">
      <c r="A15" s="378" t="str">
        <f t="shared" ca="1" si="0"/>
        <v>==&gt;</v>
      </c>
      <c r="B15" s="395">
        <f>+LATrackerALL!A16</f>
        <v>42744</v>
      </c>
      <c r="C15" s="396">
        <f>+LATrackerALL!E16</f>
        <v>0</v>
      </c>
      <c r="D15" s="397">
        <f>+LATrackerALL!C16</f>
        <v>0</v>
      </c>
      <c r="E15" s="398">
        <f>+LATrackerALL!D16</f>
        <v>0</v>
      </c>
      <c r="F15" s="391"/>
      <c r="G15" s="391"/>
      <c r="H15" s="392"/>
      <c r="I15" s="391"/>
      <c r="J15" s="391"/>
      <c r="K15" s="392"/>
      <c r="L15" s="391"/>
      <c r="M15" s="391"/>
      <c r="N15" s="391"/>
    </row>
    <row r="16" spans="1:15" ht="16.55" customHeight="1" thickBot="1" x14ac:dyDescent="0.35">
      <c r="A16" s="378" t="str">
        <f t="shared" ca="1" si="0"/>
        <v>==&gt;</v>
      </c>
      <c r="B16" s="395">
        <f>+LATrackerALL!A17</f>
        <v>42745</v>
      </c>
      <c r="C16" s="396">
        <f>+LATrackerALL!E17</f>
        <v>0</v>
      </c>
      <c r="D16" s="397">
        <f>+LATrackerALL!C17</f>
        <v>0</v>
      </c>
      <c r="E16" s="398">
        <f>+LATrackerALL!D17</f>
        <v>0</v>
      </c>
      <c r="F16" s="391"/>
      <c r="G16" s="391"/>
      <c r="H16" s="392"/>
      <c r="I16" s="391"/>
      <c r="J16" s="391"/>
      <c r="K16" s="392"/>
      <c r="L16" s="391"/>
      <c r="M16" s="391"/>
      <c r="N16" s="391"/>
    </row>
    <row r="17" spans="1:14" ht="16.55" hidden="1" customHeight="1" thickBot="1" x14ac:dyDescent="0.35">
      <c r="A17" s="378" t="str">
        <f t="shared" ca="1" si="0"/>
        <v>==&gt;</v>
      </c>
      <c r="B17" s="395">
        <f>+LATrackerALL!A18</f>
        <v>42746</v>
      </c>
      <c r="C17" s="396">
        <f>+LATrackerALL!E18</f>
        <v>0</v>
      </c>
      <c r="D17" s="397">
        <f>+LATrackerALL!C18</f>
        <v>0</v>
      </c>
      <c r="E17" s="398">
        <f>+LATrackerALL!D18</f>
        <v>0</v>
      </c>
      <c r="F17" s="391"/>
      <c r="G17" s="391"/>
      <c r="H17" s="392"/>
      <c r="I17" s="391"/>
      <c r="J17" s="391"/>
      <c r="K17" s="392"/>
      <c r="L17" s="391"/>
      <c r="M17" s="391"/>
      <c r="N17" s="391"/>
    </row>
    <row r="18" spans="1:14" ht="16.55" hidden="1" customHeight="1" thickBot="1" x14ac:dyDescent="0.35">
      <c r="A18" s="378" t="str">
        <f t="shared" ca="1" si="0"/>
        <v>==&gt;</v>
      </c>
      <c r="B18" s="395">
        <f>+LATrackerALL!A19</f>
        <v>42747</v>
      </c>
      <c r="C18" s="396">
        <f>+LATrackerALL!E19</f>
        <v>0</v>
      </c>
      <c r="D18" s="397">
        <f>+LATrackerALL!C19</f>
        <v>0</v>
      </c>
      <c r="E18" s="398">
        <f>+LATrackerALL!D19</f>
        <v>0</v>
      </c>
      <c r="F18" s="391"/>
      <c r="G18" s="391"/>
      <c r="H18" s="392"/>
      <c r="I18" s="391"/>
      <c r="J18" s="391"/>
      <c r="K18" s="392"/>
      <c r="L18" s="391"/>
      <c r="M18" s="391"/>
      <c r="N18" s="391"/>
    </row>
    <row r="19" spans="1:14" ht="16.55" hidden="1" customHeight="1" thickBot="1" x14ac:dyDescent="0.35">
      <c r="A19" s="378" t="str">
        <f t="shared" ca="1" si="0"/>
        <v/>
      </c>
      <c r="B19" s="395">
        <f>+LATrackerALL!A20</f>
        <v>42748</v>
      </c>
      <c r="C19" s="396">
        <f>+LATrackerALL!E20</f>
        <v>0</v>
      </c>
      <c r="D19" s="397">
        <f>+LATrackerALL!C20</f>
        <v>0</v>
      </c>
      <c r="E19" s="398">
        <f>+LATrackerALL!D20</f>
        <v>0</v>
      </c>
      <c r="F19" s="391"/>
      <c r="G19" s="391"/>
      <c r="H19" s="392"/>
      <c r="I19" s="391"/>
      <c r="J19" s="391"/>
      <c r="K19" s="392"/>
      <c r="L19" s="391"/>
      <c r="M19" s="391"/>
      <c r="N19" s="391"/>
    </row>
    <row r="20" spans="1:14" ht="16.55" hidden="1" customHeight="1" thickBot="1" x14ac:dyDescent="0.35">
      <c r="A20" s="378" t="str">
        <f t="shared" ca="1" si="0"/>
        <v/>
      </c>
      <c r="B20" s="395">
        <f>+LATrackerALL!A21</f>
        <v>42749</v>
      </c>
      <c r="C20" s="396">
        <f>+LATrackerALL!E21</f>
        <v>0</v>
      </c>
      <c r="D20" s="397">
        <f>+LATrackerALL!C21</f>
        <v>0</v>
      </c>
      <c r="E20" s="398">
        <f>+LATrackerALL!D21</f>
        <v>0</v>
      </c>
      <c r="F20" s="391"/>
      <c r="G20" s="391"/>
      <c r="H20" s="392"/>
      <c r="I20" s="391"/>
      <c r="J20" s="391"/>
      <c r="K20" s="392"/>
      <c r="L20" s="391"/>
      <c r="M20" s="391"/>
      <c r="N20" s="391"/>
    </row>
    <row r="21" spans="1:14" ht="16.55" hidden="1" customHeight="1" thickBot="1" x14ac:dyDescent="0.35">
      <c r="A21" s="378" t="str">
        <f t="shared" ca="1" si="0"/>
        <v/>
      </c>
      <c r="B21" s="395">
        <f>+LATrackerALL!A22</f>
        <v>42750</v>
      </c>
      <c r="C21" s="396">
        <f>+LATrackerALL!E22</f>
        <v>0</v>
      </c>
      <c r="D21" s="397">
        <f>+LATrackerALL!C22</f>
        <v>0</v>
      </c>
      <c r="E21" s="398">
        <f>+LATrackerALL!D22</f>
        <v>0</v>
      </c>
      <c r="F21" s="391"/>
      <c r="G21" s="391"/>
      <c r="H21" s="392"/>
      <c r="I21" s="391"/>
      <c r="J21" s="391"/>
      <c r="K21" s="392"/>
      <c r="L21" s="391"/>
      <c r="M21" s="391"/>
      <c r="N21" s="391"/>
    </row>
    <row r="22" spans="1:14" ht="16.55" hidden="1" customHeight="1" thickBot="1" x14ac:dyDescent="0.35">
      <c r="A22" s="378" t="str">
        <f t="shared" ca="1" si="0"/>
        <v/>
      </c>
      <c r="B22" s="395">
        <f>+LATrackerALL!A23</f>
        <v>42751</v>
      </c>
      <c r="C22" s="396">
        <f>+LATrackerALL!E23</f>
        <v>0</v>
      </c>
      <c r="D22" s="397">
        <f>+LATrackerALL!C23</f>
        <v>0</v>
      </c>
      <c r="E22" s="398">
        <f>+LATrackerALL!D23</f>
        <v>0</v>
      </c>
      <c r="F22" s="391"/>
      <c r="G22" s="391"/>
      <c r="H22" s="392"/>
      <c r="I22" s="391"/>
      <c r="J22" s="391"/>
      <c r="K22" s="392"/>
      <c r="L22" s="391"/>
      <c r="M22" s="391"/>
      <c r="N22" s="391"/>
    </row>
    <row r="23" spans="1:14" ht="16.55" hidden="1" customHeight="1" thickBot="1" x14ac:dyDescent="0.35">
      <c r="A23" s="378" t="str">
        <f t="shared" ca="1" si="0"/>
        <v/>
      </c>
      <c r="B23" s="395">
        <f>+LATrackerALL!A24</f>
        <v>42752</v>
      </c>
      <c r="C23" s="396">
        <f>+LATrackerALL!E24</f>
        <v>1</v>
      </c>
      <c r="D23" s="397">
        <f>+LATrackerALL!C24</f>
        <v>0.33333333333333331</v>
      </c>
      <c r="E23" s="398">
        <f>+LATrackerALL!D24</f>
        <v>0.33333333333333331</v>
      </c>
      <c r="F23" s="391"/>
      <c r="G23" s="391"/>
      <c r="H23" s="392"/>
      <c r="I23" s="391"/>
      <c r="J23" s="391"/>
      <c r="K23" s="392"/>
      <c r="L23" s="391"/>
      <c r="M23" s="391"/>
      <c r="N23" s="391"/>
    </row>
    <row r="24" spans="1:14" ht="16.55" hidden="1" customHeight="1" thickBot="1" x14ac:dyDescent="0.35">
      <c r="A24" s="378" t="str">
        <f t="shared" ca="1" si="0"/>
        <v/>
      </c>
      <c r="B24" s="395">
        <f>+LATrackerALL!A25</f>
        <v>42753</v>
      </c>
      <c r="C24" s="396">
        <f>+LATrackerALL!E25</f>
        <v>1</v>
      </c>
      <c r="D24" s="397">
        <f>+LATrackerALL!C25</f>
        <v>0</v>
      </c>
      <c r="E24" s="398">
        <f>+LATrackerALL!D25</f>
        <v>0.33333333333333331</v>
      </c>
      <c r="F24" s="391"/>
      <c r="G24" s="391"/>
      <c r="H24" s="392"/>
      <c r="I24" s="391"/>
      <c r="J24" s="391"/>
      <c r="K24" s="392"/>
      <c r="L24" s="391"/>
      <c r="M24" s="391"/>
      <c r="N24" s="391"/>
    </row>
    <row r="25" spans="1:14" ht="16.55" hidden="1" customHeight="1" thickBot="1" x14ac:dyDescent="0.35">
      <c r="A25" s="378" t="str">
        <f t="shared" ca="1" si="0"/>
        <v/>
      </c>
      <c r="B25" s="395">
        <f>+LATrackerALL!A26</f>
        <v>42754</v>
      </c>
      <c r="C25" s="396">
        <f>+LATrackerALL!E26</f>
        <v>1</v>
      </c>
      <c r="D25" s="397">
        <f>+LATrackerALL!C26</f>
        <v>0</v>
      </c>
      <c r="E25" s="398">
        <f>+LATrackerALL!D26</f>
        <v>0.33333333333333331</v>
      </c>
      <c r="F25" s="391"/>
      <c r="G25" s="391"/>
      <c r="H25" s="392"/>
      <c r="I25" s="391"/>
      <c r="J25" s="391"/>
      <c r="K25" s="392"/>
      <c r="L25" s="391"/>
      <c r="M25" s="391"/>
      <c r="N25" s="391"/>
    </row>
    <row r="26" spans="1:14" ht="16.55" hidden="1" customHeight="1" thickBot="1" x14ac:dyDescent="0.35">
      <c r="A26" s="378" t="str">
        <f t="shared" ca="1" si="0"/>
        <v/>
      </c>
      <c r="B26" s="395">
        <f>+LATrackerALL!A27</f>
        <v>42755</v>
      </c>
      <c r="C26" s="396">
        <f>+LATrackerALL!E27</f>
        <v>1</v>
      </c>
      <c r="D26" s="397">
        <f>+LATrackerALL!C27</f>
        <v>0</v>
      </c>
      <c r="E26" s="398">
        <f>+LATrackerALL!D27</f>
        <v>0.33333333333333331</v>
      </c>
      <c r="F26" s="391"/>
      <c r="G26" s="391"/>
      <c r="H26" s="392"/>
      <c r="I26" s="391"/>
      <c r="J26" s="391"/>
      <c r="K26" s="392"/>
      <c r="L26" s="391"/>
      <c r="M26" s="391"/>
      <c r="N26" s="391"/>
    </row>
    <row r="27" spans="1:14" ht="16.55" hidden="1" customHeight="1" thickBot="1" x14ac:dyDescent="0.35">
      <c r="A27" s="378" t="str">
        <f t="shared" ca="1" si="0"/>
        <v/>
      </c>
      <c r="B27" s="395">
        <f>+LATrackerALL!A28</f>
        <v>42756</v>
      </c>
      <c r="C27" s="396">
        <f>+LATrackerALL!E28</f>
        <v>1</v>
      </c>
      <c r="D27" s="397">
        <f>+LATrackerALL!C28</f>
        <v>0</v>
      </c>
      <c r="E27" s="398">
        <f>+LATrackerALL!D28</f>
        <v>0.33333333333333331</v>
      </c>
      <c r="F27" s="391"/>
      <c r="G27" s="391"/>
      <c r="H27" s="392"/>
      <c r="I27" s="391"/>
      <c r="J27" s="391"/>
      <c r="K27" s="392"/>
      <c r="L27" s="391"/>
      <c r="M27" s="391"/>
      <c r="N27" s="391"/>
    </row>
    <row r="28" spans="1:14" ht="16.55" hidden="1" customHeight="1" thickBot="1" x14ac:dyDescent="0.35">
      <c r="A28" s="378" t="str">
        <f t="shared" ca="1" si="0"/>
        <v/>
      </c>
      <c r="B28" s="395">
        <f>+LATrackerALL!A29</f>
        <v>42757</v>
      </c>
      <c r="C28" s="396">
        <f>+LATrackerALL!E29</f>
        <v>1</v>
      </c>
      <c r="D28" s="397">
        <f>+LATrackerALL!C29</f>
        <v>0</v>
      </c>
      <c r="E28" s="398">
        <f>+LATrackerALL!D29</f>
        <v>0.33333333333333331</v>
      </c>
      <c r="F28" s="391"/>
      <c r="G28" s="391"/>
      <c r="H28" s="392"/>
      <c r="I28" s="391"/>
      <c r="J28" s="391"/>
      <c r="K28" s="392"/>
      <c r="L28" s="391"/>
      <c r="M28" s="391"/>
      <c r="N28" s="391"/>
    </row>
    <row r="29" spans="1:14" ht="16.55" hidden="1" customHeight="1" thickBot="1" x14ac:dyDescent="0.35">
      <c r="A29" s="378" t="str">
        <f t="shared" ca="1" si="0"/>
        <v/>
      </c>
      <c r="B29" s="395">
        <f>+LATrackerALL!A30</f>
        <v>42758</v>
      </c>
      <c r="C29" s="396">
        <f>+LATrackerALL!E30</f>
        <v>1</v>
      </c>
      <c r="D29" s="397">
        <f>+LATrackerALL!C30</f>
        <v>0</v>
      </c>
      <c r="E29" s="398">
        <f>+LATrackerALL!D30</f>
        <v>0.33333333333333331</v>
      </c>
      <c r="F29" s="391"/>
      <c r="G29" s="391"/>
      <c r="H29" s="392"/>
      <c r="I29" s="391"/>
      <c r="J29" s="391"/>
      <c r="K29" s="392"/>
      <c r="L29" s="391"/>
      <c r="M29" s="391"/>
      <c r="N29" s="391"/>
    </row>
    <row r="30" spans="1:14" ht="16.55" hidden="1" customHeight="1" thickBot="1" x14ac:dyDescent="0.35">
      <c r="A30" s="378" t="str">
        <f t="shared" ca="1" si="0"/>
        <v/>
      </c>
      <c r="B30" s="395">
        <f>+LATrackerALL!A31</f>
        <v>42759</v>
      </c>
      <c r="C30" s="396">
        <f>+LATrackerALL!E31</f>
        <v>1</v>
      </c>
      <c r="D30" s="397">
        <f>+LATrackerALL!C31</f>
        <v>0</v>
      </c>
      <c r="E30" s="398">
        <f>+LATrackerALL!D31</f>
        <v>0.33333333333333331</v>
      </c>
      <c r="F30" s="391"/>
      <c r="G30" s="391"/>
      <c r="H30" s="392"/>
      <c r="I30" s="391"/>
      <c r="J30" s="391"/>
      <c r="K30" s="392"/>
      <c r="L30" s="391"/>
      <c r="M30" s="391"/>
      <c r="N30" s="391"/>
    </row>
    <row r="31" spans="1:14" ht="16.55" hidden="1" customHeight="1" thickBot="1" x14ac:dyDescent="0.35">
      <c r="A31" s="378" t="str">
        <f t="shared" ca="1" si="0"/>
        <v/>
      </c>
      <c r="B31" s="395">
        <f>+LATrackerALL!A32</f>
        <v>42760</v>
      </c>
      <c r="C31" s="396">
        <f>+LATrackerALL!E32</f>
        <v>1</v>
      </c>
      <c r="D31" s="397">
        <f>+LATrackerALL!C32</f>
        <v>0</v>
      </c>
      <c r="E31" s="398">
        <f>+LATrackerALL!D32</f>
        <v>0.33333333333333331</v>
      </c>
      <c r="F31" s="391"/>
      <c r="G31" s="391"/>
      <c r="H31" s="392"/>
      <c r="I31" s="391"/>
      <c r="J31" s="391"/>
      <c r="K31" s="392"/>
      <c r="L31" s="391"/>
      <c r="M31" s="391"/>
      <c r="N31" s="391"/>
    </row>
    <row r="32" spans="1:14" ht="16.55" hidden="1" customHeight="1" thickBot="1" x14ac:dyDescent="0.35">
      <c r="A32" s="378" t="str">
        <f t="shared" ca="1" si="0"/>
        <v/>
      </c>
      <c r="B32" s="395">
        <f>+LATrackerALL!A33</f>
        <v>42761</v>
      </c>
      <c r="C32" s="396">
        <f>+LATrackerALL!E33</f>
        <v>1</v>
      </c>
      <c r="D32" s="397">
        <f>+LATrackerALL!C33</f>
        <v>0</v>
      </c>
      <c r="E32" s="398">
        <f>+LATrackerALL!D33</f>
        <v>0.33333333333333331</v>
      </c>
      <c r="F32" s="391"/>
      <c r="G32" s="391"/>
      <c r="H32" s="392"/>
      <c r="I32" s="391"/>
      <c r="J32" s="391"/>
      <c r="K32" s="392"/>
      <c r="L32" s="391"/>
      <c r="M32" s="391"/>
      <c r="N32" s="391"/>
    </row>
    <row r="33" spans="1:14" ht="16.55" hidden="1" customHeight="1" thickBot="1" x14ac:dyDescent="0.35">
      <c r="A33" s="378" t="str">
        <f t="shared" ca="1" si="0"/>
        <v/>
      </c>
      <c r="B33" s="395">
        <f>+LATrackerALL!A34</f>
        <v>42762</v>
      </c>
      <c r="C33" s="396">
        <f>+LATrackerALL!E34</f>
        <v>1</v>
      </c>
      <c r="D33" s="397">
        <f>+LATrackerALL!C34</f>
        <v>0</v>
      </c>
      <c r="E33" s="398">
        <f>+LATrackerALL!D34</f>
        <v>0.33333333333333331</v>
      </c>
      <c r="F33" s="391"/>
      <c r="G33" s="391"/>
      <c r="H33" s="392"/>
      <c r="I33" s="391"/>
      <c r="J33" s="391"/>
      <c r="K33" s="392"/>
      <c r="L33" s="391"/>
      <c r="M33" s="391"/>
      <c r="N33" s="391"/>
    </row>
    <row r="34" spans="1:14" ht="16.55" hidden="1" customHeight="1" thickBot="1" x14ac:dyDescent="0.35">
      <c r="A34" s="378" t="str">
        <f t="shared" ca="1" si="0"/>
        <v/>
      </c>
      <c r="B34" s="395">
        <f>+LATrackerALL!A35</f>
        <v>42763</v>
      </c>
      <c r="C34" s="396">
        <f>+LATrackerALL!E35</f>
        <v>1</v>
      </c>
      <c r="D34" s="397">
        <f>+LATrackerALL!C35</f>
        <v>0</v>
      </c>
      <c r="E34" s="398">
        <f>+LATrackerALL!D35</f>
        <v>0.33333333333333331</v>
      </c>
      <c r="F34" s="391"/>
      <c r="G34" s="391"/>
      <c r="H34" s="392"/>
      <c r="I34" s="391"/>
      <c r="J34" s="391"/>
      <c r="K34" s="392"/>
      <c r="L34" s="391"/>
      <c r="M34" s="391"/>
      <c r="N34" s="391"/>
    </row>
    <row r="35" spans="1:14" ht="16.55" hidden="1" customHeight="1" thickBot="1" x14ac:dyDescent="0.35">
      <c r="A35" s="378" t="str">
        <f t="shared" ca="1" si="0"/>
        <v/>
      </c>
      <c r="B35" s="395">
        <f>+LATrackerALL!A36</f>
        <v>42764</v>
      </c>
      <c r="C35" s="396">
        <f>+LATrackerALL!E36</f>
        <v>1</v>
      </c>
      <c r="D35" s="397">
        <f>+LATrackerALL!C36</f>
        <v>0</v>
      </c>
      <c r="E35" s="398">
        <f>+LATrackerALL!D36</f>
        <v>0.33333333333333331</v>
      </c>
      <c r="F35" s="391"/>
      <c r="G35" s="391"/>
      <c r="H35" s="392"/>
      <c r="I35" s="391"/>
      <c r="J35" s="391"/>
      <c r="K35" s="392"/>
      <c r="L35" s="391"/>
      <c r="M35" s="391"/>
      <c r="N35" s="391"/>
    </row>
    <row r="36" spans="1:14" ht="16.55" hidden="1" customHeight="1" thickBot="1" x14ac:dyDescent="0.35">
      <c r="A36" s="378" t="str">
        <f t="shared" ca="1" si="0"/>
        <v/>
      </c>
      <c r="B36" s="395">
        <f>+LATrackerALL!A37</f>
        <v>42765</v>
      </c>
      <c r="C36" s="396">
        <f>+LATrackerALL!E37</f>
        <v>1</v>
      </c>
      <c r="D36" s="397">
        <f>+LATrackerALL!C37</f>
        <v>0</v>
      </c>
      <c r="E36" s="398">
        <f>+LATrackerALL!D37</f>
        <v>0.33333333333333331</v>
      </c>
      <c r="F36" s="391"/>
      <c r="G36" s="391"/>
      <c r="H36" s="392"/>
      <c r="I36" s="391"/>
      <c r="J36" s="391"/>
      <c r="K36" s="392"/>
      <c r="L36" s="391"/>
      <c r="M36" s="391"/>
      <c r="N36" s="391"/>
    </row>
    <row r="37" spans="1:14" ht="16.55" hidden="1" customHeight="1" thickBot="1" x14ac:dyDescent="0.35">
      <c r="A37" s="378" t="str">
        <f t="shared" ca="1" si="0"/>
        <v/>
      </c>
      <c r="B37" s="395">
        <f>+LATrackerALL!A38</f>
        <v>42766</v>
      </c>
      <c r="C37" s="396">
        <f>+LATrackerALL!E38</f>
        <v>1</v>
      </c>
      <c r="D37" s="397">
        <f>+LATrackerALL!C38</f>
        <v>0</v>
      </c>
      <c r="E37" s="398">
        <f>+LATrackerALL!D38</f>
        <v>0.33333333333333331</v>
      </c>
      <c r="F37" s="391"/>
      <c r="G37" s="391"/>
      <c r="H37" s="392"/>
      <c r="I37" s="391"/>
      <c r="J37" s="391"/>
      <c r="K37" s="392"/>
      <c r="L37" s="391"/>
      <c r="M37" s="391"/>
      <c r="N37" s="391"/>
    </row>
    <row r="38" spans="1:14" ht="16.55" hidden="1" customHeight="1" thickBot="1" x14ac:dyDescent="0.35">
      <c r="A38" s="378" t="str">
        <f t="shared" ca="1" si="0"/>
        <v/>
      </c>
      <c r="B38" s="395">
        <f>+LATrackerALL!A39</f>
        <v>42767</v>
      </c>
      <c r="C38" s="396">
        <f>+LATrackerALL!E39</f>
        <v>1</v>
      </c>
      <c r="D38" s="397">
        <f>+LATrackerALL!C39</f>
        <v>0</v>
      </c>
      <c r="E38" s="398">
        <f>+LATrackerALL!D39</f>
        <v>0.33333333333333331</v>
      </c>
      <c r="F38" s="391"/>
      <c r="G38" s="391"/>
      <c r="H38" s="392"/>
      <c r="I38" s="391"/>
      <c r="J38" s="391"/>
      <c r="K38" s="392"/>
      <c r="L38" s="391"/>
      <c r="M38" s="391"/>
      <c r="N38" s="391"/>
    </row>
    <row r="39" spans="1:14" ht="16.55" hidden="1" customHeight="1" thickBot="1" x14ac:dyDescent="0.35">
      <c r="A39" s="378" t="str">
        <f t="shared" ca="1" si="0"/>
        <v/>
      </c>
      <c r="B39" s="395">
        <f>+LATrackerALL!A40</f>
        <v>42768</v>
      </c>
      <c r="C39" s="396">
        <f>+LATrackerALL!E40</f>
        <v>1</v>
      </c>
      <c r="D39" s="397">
        <f>+LATrackerALL!C40</f>
        <v>0</v>
      </c>
      <c r="E39" s="398">
        <f>+LATrackerALL!D40</f>
        <v>0.33333333333333331</v>
      </c>
      <c r="F39" s="391"/>
      <c r="G39" s="391"/>
      <c r="H39" s="392"/>
      <c r="I39" s="391"/>
      <c r="J39" s="391"/>
      <c r="K39" s="392"/>
      <c r="L39" s="391"/>
      <c r="M39" s="391"/>
      <c r="N39" s="391"/>
    </row>
    <row r="40" spans="1:14" ht="16.55" hidden="1" customHeight="1" thickBot="1" x14ac:dyDescent="0.35">
      <c r="A40" s="378" t="str">
        <f t="shared" ca="1" si="0"/>
        <v/>
      </c>
      <c r="B40" s="395">
        <f>+LATrackerALL!A41</f>
        <v>42769</v>
      </c>
      <c r="C40" s="396">
        <f>+LATrackerALL!E41</f>
        <v>1</v>
      </c>
      <c r="D40" s="397">
        <f>+LATrackerALL!C41</f>
        <v>0</v>
      </c>
      <c r="E40" s="398">
        <f>+LATrackerALL!D41</f>
        <v>0.33333333333333331</v>
      </c>
      <c r="F40" s="391"/>
      <c r="G40" s="391"/>
      <c r="H40" s="392"/>
      <c r="I40" s="391"/>
      <c r="J40" s="391"/>
      <c r="K40" s="392"/>
      <c r="L40" s="391"/>
      <c r="M40" s="391"/>
      <c r="N40" s="391"/>
    </row>
    <row r="41" spans="1:14" ht="16.55" hidden="1" customHeight="1" thickBot="1" x14ac:dyDescent="0.35">
      <c r="A41" s="378" t="str">
        <f t="shared" ca="1" si="0"/>
        <v/>
      </c>
      <c r="B41" s="395">
        <f>+LATrackerALL!A42</f>
        <v>42770</v>
      </c>
      <c r="C41" s="396">
        <f>+LATrackerALL!E42</f>
        <v>1</v>
      </c>
      <c r="D41" s="397">
        <f>+LATrackerALL!C42</f>
        <v>0</v>
      </c>
      <c r="E41" s="398">
        <f>+LATrackerALL!D42</f>
        <v>0.33333333333333331</v>
      </c>
      <c r="F41" s="391"/>
      <c r="G41" s="391"/>
      <c r="H41" s="392"/>
      <c r="I41" s="391"/>
      <c r="J41" s="391"/>
      <c r="K41" s="392"/>
      <c r="L41" s="391"/>
      <c r="M41" s="391"/>
      <c r="N41" s="391"/>
    </row>
    <row r="42" spans="1:14" ht="16.55" hidden="1" customHeight="1" thickBot="1" x14ac:dyDescent="0.35">
      <c r="A42" s="378" t="str">
        <f t="shared" ca="1" si="0"/>
        <v/>
      </c>
      <c r="B42" s="395">
        <f>+LATrackerALL!A43</f>
        <v>42771</v>
      </c>
      <c r="C42" s="396">
        <f>+LATrackerALL!E43</f>
        <v>1</v>
      </c>
      <c r="D42" s="397">
        <f>+LATrackerALL!C43</f>
        <v>0</v>
      </c>
      <c r="E42" s="398">
        <f>+LATrackerALL!D43</f>
        <v>0.33333333333333331</v>
      </c>
      <c r="F42" s="391"/>
      <c r="G42" s="391"/>
      <c r="H42" s="392"/>
      <c r="I42" s="391"/>
      <c r="J42" s="391"/>
      <c r="K42" s="392"/>
      <c r="L42" s="391"/>
      <c r="M42" s="391"/>
      <c r="N42" s="391"/>
    </row>
    <row r="43" spans="1:14" ht="16.55" hidden="1" customHeight="1" thickBot="1" x14ac:dyDescent="0.35">
      <c r="A43" s="378" t="str">
        <f t="shared" ca="1" si="0"/>
        <v/>
      </c>
      <c r="B43" s="395">
        <f>+LATrackerALL!A44</f>
        <v>42772</v>
      </c>
      <c r="C43" s="396">
        <f>+LATrackerALL!E44</f>
        <v>1</v>
      </c>
      <c r="D43" s="397">
        <f>+LATrackerALL!C44</f>
        <v>0</v>
      </c>
      <c r="E43" s="398">
        <f>+LATrackerALL!D44</f>
        <v>0.33333333333333331</v>
      </c>
      <c r="F43" s="391"/>
      <c r="G43" s="391"/>
      <c r="H43" s="392"/>
      <c r="I43" s="391"/>
      <c r="J43" s="391"/>
      <c r="K43" s="392"/>
      <c r="L43" s="391"/>
      <c r="M43" s="391"/>
      <c r="N43" s="391"/>
    </row>
    <row r="44" spans="1:14" ht="16.55" hidden="1" customHeight="1" thickBot="1" x14ac:dyDescent="0.35">
      <c r="A44" s="378" t="str">
        <f t="shared" ca="1" si="0"/>
        <v/>
      </c>
      <c r="B44" s="395">
        <f>+LATrackerALL!A45</f>
        <v>42773</v>
      </c>
      <c r="C44" s="396">
        <f>+LATrackerALL!E45</f>
        <v>1</v>
      </c>
      <c r="D44" s="397">
        <f>+LATrackerALL!C45</f>
        <v>0</v>
      </c>
      <c r="E44" s="398">
        <f>+LATrackerALL!D45</f>
        <v>0.33333333333333331</v>
      </c>
      <c r="F44" s="391"/>
      <c r="G44" s="391"/>
      <c r="H44" s="392"/>
      <c r="I44" s="391"/>
      <c r="J44" s="391"/>
      <c r="K44" s="392"/>
      <c r="L44" s="391"/>
      <c r="M44" s="391"/>
      <c r="N44" s="391"/>
    </row>
    <row r="45" spans="1:14" ht="16.55" hidden="1" customHeight="1" thickBot="1" x14ac:dyDescent="0.35">
      <c r="A45" s="378" t="str">
        <f t="shared" ca="1" si="0"/>
        <v/>
      </c>
      <c r="B45" s="395">
        <f>+LATrackerALL!A46</f>
        <v>42774</v>
      </c>
      <c r="C45" s="396">
        <f>+LATrackerALL!E46</f>
        <v>1</v>
      </c>
      <c r="D45" s="397">
        <f>+LATrackerALL!C46</f>
        <v>0</v>
      </c>
      <c r="E45" s="398">
        <f>+LATrackerALL!D46</f>
        <v>0.33333333333333331</v>
      </c>
      <c r="F45" s="391"/>
      <c r="G45" s="391"/>
      <c r="H45" s="392"/>
      <c r="I45" s="391"/>
      <c r="J45" s="391"/>
      <c r="K45" s="392"/>
      <c r="L45" s="391"/>
      <c r="M45" s="391"/>
      <c r="N45" s="391"/>
    </row>
    <row r="46" spans="1:14" ht="16.55" hidden="1" customHeight="1" thickBot="1" x14ac:dyDescent="0.35">
      <c r="A46" s="378" t="str">
        <f t="shared" ca="1" si="0"/>
        <v/>
      </c>
      <c r="B46" s="395">
        <f>+LATrackerALL!A47</f>
        <v>42775</v>
      </c>
      <c r="C46" s="396">
        <f>+LATrackerALL!E47</f>
        <v>1</v>
      </c>
      <c r="D46" s="397">
        <f>+LATrackerALL!C47</f>
        <v>0</v>
      </c>
      <c r="E46" s="398">
        <f>+LATrackerALL!D47</f>
        <v>0.33333333333333331</v>
      </c>
      <c r="F46" s="391"/>
      <c r="G46" s="391"/>
      <c r="H46" s="392"/>
      <c r="I46" s="391"/>
      <c r="J46" s="391"/>
      <c r="K46" s="392"/>
      <c r="L46" s="391"/>
      <c r="M46" s="391"/>
      <c r="N46" s="391"/>
    </row>
    <row r="47" spans="1:14" ht="16.55" hidden="1" customHeight="1" thickBot="1" x14ac:dyDescent="0.35">
      <c r="A47" s="378" t="str">
        <f t="shared" ca="1" si="0"/>
        <v/>
      </c>
      <c r="B47" s="395">
        <f>+LATrackerALL!A48</f>
        <v>42776</v>
      </c>
      <c r="C47" s="396">
        <f>+LATrackerALL!E48</f>
        <v>1</v>
      </c>
      <c r="D47" s="397">
        <f>+LATrackerALL!C48</f>
        <v>0</v>
      </c>
      <c r="E47" s="398">
        <f>+LATrackerALL!D48</f>
        <v>0.33333333333333331</v>
      </c>
      <c r="F47" s="391"/>
      <c r="G47" s="391"/>
      <c r="H47" s="392"/>
      <c r="I47" s="391"/>
      <c r="J47" s="391"/>
      <c r="K47" s="392"/>
      <c r="L47" s="391"/>
      <c r="M47" s="391"/>
      <c r="N47" s="391"/>
    </row>
    <row r="48" spans="1:14" ht="16.55" hidden="1" customHeight="1" thickBot="1" x14ac:dyDescent="0.35">
      <c r="A48" s="378" t="str">
        <f t="shared" ca="1" si="0"/>
        <v/>
      </c>
      <c r="B48" s="395">
        <f>+LATrackerALL!A49</f>
        <v>42777</v>
      </c>
      <c r="C48" s="396">
        <f>+LATrackerALL!E49</f>
        <v>1</v>
      </c>
      <c r="D48" s="397">
        <f>+LATrackerALL!C49</f>
        <v>0</v>
      </c>
      <c r="E48" s="398">
        <f>+LATrackerALL!D49</f>
        <v>0.33333333333333331</v>
      </c>
      <c r="F48" s="391"/>
      <c r="G48" s="391"/>
      <c r="H48" s="392"/>
      <c r="I48" s="391"/>
      <c r="J48" s="391"/>
      <c r="K48" s="392"/>
      <c r="L48" s="391"/>
      <c r="M48" s="391"/>
      <c r="N48" s="391"/>
    </row>
    <row r="49" spans="1:14" ht="16.55" hidden="1" customHeight="1" thickBot="1" x14ac:dyDescent="0.35">
      <c r="A49" s="378" t="str">
        <f t="shared" ca="1" si="0"/>
        <v/>
      </c>
      <c r="B49" s="395">
        <f>+LATrackerALL!A50</f>
        <v>42778</v>
      </c>
      <c r="C49" s="396">
        <f>+LATrackerALL!E50</f>
        <v>1</v>
      </c>
      <c r="D49" s="397">
        <f>+LATrackerALL!C50</f>
        <v>0</v>
      </c>
      <c r="E49" s="398">
        <f>+LATrackerALL!D50</f>
        <v>0.33333333333333331</v>
      </c>
      <c r="F49" s="391"/>
      <c r="G49" s="391"/>
      <c r="H49" s="392"/>
      <c r="I49" s="391"/>
      <c r="J49" s="391"/>
      <c r="K49" s="392"/>
      <c r="L49" s="391"/>
      <c r="M49" s="391"/>
      <c r="N49" s="391"/>
    </row>
    <row r="50" spans="1:14" ht="16.55" hidden="1" customHeight="1" thickBot="1" x14ac:dyDescent="0.35">
      <c r="A50" s="378" t="str">
        <f t="shared" ca="1" si="0"/>
        <v/>
      </c>
      <c r="B50" s="395">
        <f>+LATrackerALL!A51</f>
        <v>42779</v>
      </c>
      <c r="C50" s="396">
        <f>+LATrackerALL!E51</f>
        <v>1</v>
      </c>
      <c r="D50" s="397">
        <f>+LATrackerALL!C51</f>
        <v>0</v>
      </c>
      <c r="E50" s="398">
        <f>+LATrackerALL!D51</f>
        <v>0.33333333333333331</v>
      </c>
      <c r="F50" s="391"/>
      <c r="G50" s="391"/>
      <c r="H50" s="392"/>
      <c r="I50" s="391"/>
      <c r="J50" s="391"/>
      <c r="K50" s="392"/>
      <c r="L50" s="391"/>
      <c r="M50" s="391"/>
      <c r="N50" s="391"/>
    </row>
    <row r="51" spans="1:14" ht="16.55" customHeight="1" thickBot="1" x14ac:dyDescent="0.35">
      <c r="A51" s="378" t="str">
        <f t="shared" ca="1" si="0"/>
        <v/>
      </c>
      <c r="B51" s="395">
        <f>+LATrackerALL!A52</f>
        <v>42780</v>
      </c>
      <c r="C51" s="396">
        <f>+LATrackerALL!E52</f>
        <v>2</v>
      </c>
      <c r="D51" s="397">
        <f>+LATrackerALL!C52</f>
        <v>0.33333333333333331</v>
      </c>
      <c r="E51" s="398">
        <f>+LATrackerALL!D52</f>
        <v>0.66666666666666663</v>
      </c>
      <c r="F51" s="391"/>
      <c r="G51" s="391"/>
      <c r="H51" s="392"/>
      <c r="I51" s="391"/>
      <c r="J51" s="391"/>
      <c r="K51" s="392"/>
      <c r="L51" s="391"/>
      <c r="M51" s="391"/>
      <c r="N51" s="391"/>
    </row>
    <row r="52" spans="1:14" ht="16.55" hidden="1" customHeight="1" thickBot="1" x14ac:dyDescent="0.35">
      <c r="A52" s="378" t="str">
        <f t="shared" ca="1" si="0"/>
        <v/>
      </c>
      <c r="B52" s="395">
        <f>+LATrackerALL!A53</f>
        <v>42781</v>
      </c>
      <c r="C52" s="396">
        <f>+LATrackerALL!E53</f>
        <v>2</v>
      </c>
      <c r="D52" s="397">
        <f>+LATrackerALL!C53</f>
        <v>0</v>
      </c>
      <c r="E52" s="398">
        <f>+LATrackerALL!D53</f>
        <v>0.66666666666666663</v>
      </c>
      <c r="F52" s="391"/>
      <c r="G52" s="391"/>
      <c r="H52" s="392"/>
      <c r="I52" s="391"/>
      <c r="J52" s="391"/>
      <c r="K52" s="392"/>
      <c r="L52" s="391"/>
      <c r="M52" s="391"/>
      <c r="N52" s="391"/>
    </row>
    <row r="53" spans="1:14" ht="16.55" hidden="1" customHeight="1" thickBot="1" x14ac:dyDescent="0.35">
      <c r="A53" s="378" t="str">
        <f t="shared" ca="1" si="0"/>
        <v/>
      </c>
      <c r="B53" s="395">
        <f>+LATrackerALL!A54</f>
        <v>42782</v>
      </c>
      <c r="C53" s="396">
        <f>+LATrackerALL!E54</f>
        <v>2</v>
      </c>
      <c r="D53" s="397">
        <f>+LATrackerALL!C54</f>
        <v>0</v>
      </c>
      <c r="E53" s="398">
        <f>+LATrackerALL!D54</f>
        <v>0.66666666666666663</v>
      </c>
      <c r="F53" s="391"/>
      <c r="G53" s="391"/>
      <c r="H53" s="392"/>
      <c r="I53" s="391"/>
      <c r="J53" s="391"/>
      <c r="K53" s="392"/>
      <c r="L53" s="391"/>
      <c r="M53" s="391"/>
      <c r="N53" s="391"/>
    </row>
    <row r="54" spans="1:14" ht="16.55" hidden="1" customHeight="1" thickBot="1" x14ac:dyDescent="0.35">
      <c r="A54" s="378" t="str">
        <f t="shared" ca="1" si="0"/>
        <v/>
      </c>
      <c r="B54" s="395">
        <f>+LATrackerALL!A55</f>
        <v>42783</v>
      </c>
      <c r="C54" s="396">
        <f>+LATrackerALL!E55</f>
        <v>2</v>
      </c>
      <c r="D54" s="397">
        <f>+LATrackerALL!C55</f>
        <v>0</v>
      </c>
      <c r="E54" s="398">
        <f>+LATrackerALL!D55</f>
        <v>0.66666666666666663</v>
      </c>
      <c r="F54" s="391"/>
      <c r="G54" s="391"/>
      <c r="H54" s="392"/>
      <c r="I54" s="391"/>
      <c r="J54" s="391"/>
      <c r="K54" s="392"/>
      <c r="L54" s="391"/>
      <c r="M54" s="391"/>
      <c r="N54" s="391"/>
    </row>
    <row r="55" spans="1:14" ht="16.55" hidden="1" customHeight="1" thickBot="1" x14ac:dyDescent="0.35">
      <c r="A55" s="378" t="str">
        <f t="shared" ca="1" si="0"/>
        <v/>
      </c>
      <c r="B55" s="395">
        <f>+LATrackerALL!A56</f>
        <v>42784</v>
      </c>
      <c r="C55" s="396">
        <f>+LATrackerALL!E56</f>
        <v>2</v>
      </c>
      <c r="D55" s="397">
        <f>+LATrackerALL!C56</f>
        <v>0</v>
      </c>
      <c r="E55" s="398">
        <f>+LATrackerALL!D56</f>
        <v>0.66666666666666663</v>
      </c>
      <c r="F55" s="391"/>
      <c r="G55" s="391"/>
      <c r="H55" s="392"/>
      <c r="I55" s="391"/>
      <c r="J55" s="391"/>
      <c r="K55" s="392"/>
      <c r="L55" s="391"/>
      <c r="M55" s="391"/>
      <c r="N55" s="391"/>
    </row>
    <row r="56" spans="1:14" ht="16.55" hidden="1" customHeight="1" thickBot="1" x14ac:dyDescent="0.35">
      <c r="A56" s="378" t="str">
        <f t="shared" ca="1" si="0"/>
        <v/>
      </c>
      <c r="B56" s="395">
        <f>+LATrackerALL!A57</f>
        <v>42785</v>
      </c>
      <c r="C56" s="396">
        <f>+LATrackerALL!E57</f>
        <v>2</v>
      </c>
      <c r="D56" s="397">
        <f>+LATrackerALL!C57</f>
        <v>0</v>
      </c>
      <c r="E56" s="398">
        <f>+LATrackerALL!D57</f>
        <v>0.66666666666666663</v>
      </c>
      <c r="F56" s="391"/>
      <c r="G56" s="391"/>
      <c r="H56" s="392"/>
      <c r="I56" s="391"/>
      <c r="J56" s="391"/>
      <c r="K56" s="392"/>
      <c r="L56" s="391"/>
      <c r="M56" s="391"/>
      <c r="N56" s="391"/>
    </row>
    <row r="57" spans="1:14" ht="16.55" hidden="1" customHeight="1" thickBot="1" x14ac:dyDescent="0.35">
      <c r="A57" s="378" t="str">
        <f t="shared" ca="1" si="0"/>
        <v/>
      </c>
      <c r="B57" s="395">
        <f>+LATrackerALL!A58</f>
        <v>42786</v>
      </c>
      <c r="C57" s="396">
        <f>+LATrackerALL!E58</f>
        <v>2</v>
      </c>
      <c r="D57" s="397">
        <f>+LATrackerALL!C58</f>
        <v>0</v>
      </c>
      <c r="E57" s="398">
        <f>+LATrackerALL!D58</f>
        <v>0.66666666666666663</v>
      </c>
      <c r="F57" s="391"/>
      <c r="G57" s="391"/>
      <c r="H57" s="392"/>
      <c r="I57" s="391"/>
      <c r="J57" s="391"/>
      <c r="K57" s="392"/>
      <c r="L57" s="391"/>
      <c r="M57" s="391"/>
      <c r="N57" s="391"/>
    </row>
    <row r="58" spans="1:14" ht="16.55" hidden="1" customHeight="1" thickBot="1" x14ac:dyDescent="0.35">
      <c r="A58" s="378" t="str">
        <f t="shared" ca="1" si="0"/>
        <v/>
      </c>
      <c r="B58" s="395">
        <f>+LATrackerALL!A59</f>
        <v>42787</v>
      </c>
      <c r="C58" s="396">
        <f>+LATrackerALL!E59</f>
        <v>2</v>
      </c>
      <c r="D58" s="397">
        <f>+LATrackerALL!C59</f>
        <v>0</v>
      </c>
      <c r="E58" s="398">
        <f>+LATrackerALL!D59</f>
        <v>0.66666666666666663</v>
      </c>
      <c r="F58" s="391"/>
      <c r="G58" s="391"/>
      <c r="H58" s="392"/>
      <c r="I58" s="391"/>
      <c r="J58" s="391"/>
      <c r="K58" s="392"/>
      <c r="L58" s="391"/>
      <c r="M58" s="391"/>
      <c r="N58" s="391"/>
    </row>
    <row r="59" spans="1:14" ht="16.55" hidden="1" customHeight="1" thickBot="1" x14ac:dyDescent="0.35">
      <c r="A59" s="378" t="str">
        <f t="shared" ca="1" si="0"/>
        <v/>
      </c>
      <c r="B59" s="395">
        <f>+LATrackerALL!A60</f>
        <v>42788</v>
      </c>
      <c r="C59" s="396">
        <f>+LATrackerALL!E60</f>
        <v>2</v>
      </c>
      <c r="D59" s="397">
        <f>+LATrackerALL!C60</f>
        <v>0</v>
      </c>
      <c r="E59" s="398">
        <f>+LATrackerALL!D60</f>
        <v>0.66666666666666663</v>
      </c>
      <c r="F59" s="391"/>
      <c r="G59" s="391"/>
      <c r="H59" s="392"/>
      <c r="I59" s="391"/>
      <c r="J59" s="391"/>
      <c r="K59" s="392"/>
      <c r="L59" s="391"/>
      <c r="M59" s="391"/>
      <c r="N59" s="391"/>
    </row>
    <row r="60" spans="1:14" ht="16.55" hidden="1" customHeight="1" thickBot="1" x14ac:dyDescent="0.35">
      <c r="A60" s="378" t="str">
        <f t="shared" ca="1" si="0"/>
        <v/>
      </c>
      <c r="B60" s="395">
        <f>+LATrackerALL!A61</f>
        <v>42789</v>
      </c>
      <c r="C60" s="396">
        <f>+LATrackerALL!E61</f>
        <v>2</v>
      </c>
      <c r="D60" s="397">
        <f>+LATrackerALL!C61</f>
        <v>0</v>
      </c>
      <c r="E60" s="398">
        <f>+LATrackerALL!D61</f>
        <v>0.66666666666666663</v>
      </c>
      <c r="F60" s="391"/>
      <c r="G60" s="391"/>
      <c r="H60" s="392"/>
      <c r="I60" s="391"/>
      <c r="J60" s="391"/>
      <c r="K60" s="392"/>
      <c r="L60" s="391"/>
      <c r="M60" s="391"/>
      <c r="N60" s="391"/>
    </row>
    <row r="61" spans="1:14" ht="16.55" hidden="1" customHeight="1" thickBot="1" x14ac:dyDescent="0.35">
      <c r="A61" s="378" t="str">
        <f t="shared" ca="1" si="0"/>
        <v/>
      </c>
      <c r="B61" s="395">
        <f>+LATrackerALL!A62</f>
        <v>42790</v>
      </c>
      <c r="C61" s="396">
        <f>+LATrackerALL!E62</f>
        <v>2</v>
      </c>
      <c r="D61" s="397">
        <f>+LATrackerALL!C62</f>
        <v>0</v>
      </c>
      <c r="E61" s="398">
        <f>+LATrackerALL!D62</f>
        <v>0.66666666666666663</v>
      </c>
      <c r="F61" s="391"/>
      <c r="G61" s="391"/>
      <c r="H61" s="392"/>
      <c r="I61" s="391"/>
      <c r="J61" s="391"/>
      <c r="K61" s="392"/>
      <c r="L61" s="391"/>
      <c r="M61" s="391"/>
      <c r="N61" s="391"/>
    </row>
    <row r="62" spans="1:14" ht="16.55" hidden="1" customHeight="1" thickBot="1" x14ac:dyDescent="0.35">
      <c r="A62" s="378" t="str">
        <f t="shared" ca="1" si="0"/>
        <v/>
      </c>
      <c r="B62" s="395">
        <f>+LATrackerALL!A63</f>
        <v>42791</v>
      </c>
      <c r="C62" s="396">
        <f>+LATrackerALL!E63</f>
        <v>2</v>
      </c>
      <c r="D62" s="397">
        <f>+LATrackerALL!C63</f>
        <v>0</v>
      </c>
      <c r="E62" s="398">
        <f>+LATrackerALL!D63</f>
        <v>0.66666666666666663</v>
      </c>
      <c r="F62" s="391"/>
      <c r="G62" s="391"/>
      <c r="H62" s="392"/>
      <c r="I62" s="391"/>
      <c r="J62" s="391"/>
      <c r="K62" s="392"/>
      <c r="L62" s="391"/>
      <c r="M62" s="391"/>
      <c r="N62" s="391"/>
    </row>
    <row r="63" spans="1:14" ht="16.55" hidden="1" customHeight="1" thickBot="1" x14ac:dyDescent="0.35">
      <c r="A63" s="378" t="str">
        <f t="shared" ca="1" si="0"/>
        <v/>
      </c>
      <c r="B63" s="395">
        <f>+LATrackerALL!A64</f>
        <v>42792</v>
      </c>
      <c r="C63" s="396">
        <f>+LATrackerALL!E64</f>
        <v>2</v>
      </c>
      <c r="D63" s="397">
        <f>+LATrackerALL!C64</f>
        <v>0</v>
      </c>
      <c r="E63" s="398">
        <f>+LATrackerALL!D64</f>
        <v>0.66666666666666663</v>
      </c>
      <c r="F63" s="391"/>
      <c r="G63" s="391"/>
      <c r="H63" s="392"/>
      <c r="I63" s="391"/>
      <c r="J63" s="391"/>
      <c r="K63" s="392"/>
      <c r="L63" s="391"/>
      <c r="M63" s="391"/>
      <c r="N63" s="391"/>
    </row>
    <row r="64" spans="1:14" ht="16.55" hidden="1" customHeight="1" thickBot="1" x14ac:dyDescent="0.35">
      <c r="A64" s="378" t="str">
        <f t="shared" ca="1" si="0"/>
        <v/>
      </c>
      <c r="B64" s="395">
        <f>+LATrackerALL!A65</f>
        <v>42793</v>
      </c>
      <c r="C64" s="396">
        <f>+LATrackerALL!E65</f>
        <v>2</v>
      </c>
      <c r="D64" s="397">
        <f>+LATrackerALL!C65</f>
        <v>0</v>
      </c>
      <c r="E64" s="398">
        <f>+LATrackerALL!D65</f>
        <v>0.66666666666666663</v>
      </c>
      <c r="F64" s="391"/>
      <c r="G64" s="391"/>
      <c r="H64" s="392"/>
      <c r="I64" s="391"/>
      <c r="J64" s="391"/>
      <c r="K64" s="392"/>
      <c r="L64" s="391"/>
      <c r="M64" s="391"/>
      <c r="N64" s="391"/>
    </row>
    <row r="65" spans="1:14" ht="16.55" hidden="1" customHeight="1" thickBot="1" x14ac:dyDescent="0.35">
      <c r="A65" s="378" t="str">
        <f t="shared" ca="1" si="0"/>
        <v/>
      </c>
      <c r="B65" s="395">
        <f>+LATrackerALL!A66</f>
        <v>42794</v>
      </c>
      <c r="C65" s="396">
        <f>+LATrackerALL!E66</f>
        <v>2</v>
      </c>
      <c r="D65" s="397">
        <f>+LATrackerALL!C66</f>
        <v>0</v>
      </c>
      <c r="E65" s="398">
        <f>+LATrackerALL!D66</f>
        <v>0.66666666666666663</v>
      </c>
      <c r="F65" s="391"/>
      <c r="G65" s="391"/>
      <c r="H65" s="392"/>
      <c r="I65" s="391"/>
      <c r="J65" s="391"/>
      <c r="K65" s="392"/>
      <c r="L65" s="391"/>
      <c r="M65" s="391"/>
      <c r="N65" s="391"/>
    </row>
    <row r="66" spans="1:14" ht="16.55" hidden="1" customHeight="1" thickBot="1" x14ac:dyDescent="0.35">
      <c r="A66" s="378" t="str">
        <f t="shared" ca="1" si="0"/>
        <v/>
      </c>
      <c r="B66" s="395">
        <f>+LATrackerALL!A67</f>
        <v>42795</v>
      </c>
      <c r="C66" s="396">
        <f>+LATrackerALL!E67</f>
        <v>2</v>
      </c>
      <c r="D66" s="397">
        <f>+LATrackerALL!C67</f>
        <v>0</v>
      </c>
      <c r="E66" s="398">
        <f>+LATrackerALL!D67</f>
        <v>0.66666666666666663</v>
      </c>
      <c r="F66" s="391"/>
      <c r="G66" s="391"/>
      <c r="H66" s="392"/>
      <c r="I66" s="391"/>
      <c r="J66" s="391"/>
      <c r="K66" s="392"/>
      <c r="L66" s="391"/>
      <c r="M66" s="391"/>
      <c r="N66" s="391"/>
    </row>
    <row r="67" spans="1:14" ht="16.55" hidden="1" customHeight="1" thickBot="1" x14ac:dyDescent="0.35">
      <c r="A67" s="378" t="str">
        <f t="shared" ca="1" si="0"/>
        <v/>
      </c>
      <c r="B67" s="395">
        <f>+LATrackerALL!A68</f>
        <v>42796</v>
      </c>
      <c r="C67" s="396">
        <f>+LATrackerALL!E68</f>
        <v>2</v>
      </c>
      <c r="D67" s="397">
        <f>+LATrackerALL!C68</f>
        <v>0</v>
      </c>
      <c r="E67" s="398">
        <f>+LATrackerALL!D68</f>
        <v>0.66666666666666663</v>
      </c>
      <c r="F67" s="391"/>
      <c r="G67" s="391"/>
      <c r="H67" s="392"/>
      <c r="I67" s="391"/>
      <c r="J67" s="391"/>
      <c r="K67" s="392"/>
      <c r="L67" s="391"/>
      <c r="M67" s="391"/>
      <c r="N67" s="391"/>
    </row>
    <row r="68" spans="1:14" ht="16.55" hidden="1" customHeight="1" thickBot="1" x14ac:dyDescent="0.35">
      <c r="A68" s="378" t="str">
        <f t="shared" ca="1" si="0"/>
        <v/>
      </c>
      <c r="B68" s="395">
        <f>+LATrackerALL!A69</f>
        <v>42797</v>
      </c>
      <c r="C68" s="396">
        <f>+LATrackerALL!E69</f>
        <v>2</v>
      </c>
      <c r="D68" s="397">
        <f>+LATrackerALL!C69</f>
        <v>0</v>
      </c>
      <c r="E68" s="398">
        <f>+LATrackerALL!D69</f>
        <v>0.66666666666666663</v>
      </c>
      <c r="F68" s="391"/>
      <c r="G68" s="391"/>
      <c r="H68" s="392"/>
      <c r="I68" s="391"/>
      <c r="J68" s="391"/>
      <c r="K68" s="392"/>
      <c r="L68" s="391"/>
      <c r="M68" s="391"/>
      <c r="N68" s="391"/>
    </row>
    <row r="69" spans="1:14" ht="16.55" hidden="1" customHeight="1" thickBot="1" x14ac:dyDescent="0.35">
      <c r="A69" s="378" t="str">
        <f t="shared" ca="1" si="0"/>
        <v/>
      </c>
      <c r="B69" s="395">
        <f>+LATrackerALL!A70</f>
        <v>42798</v>
      </c>
      <c r="C69" s="396">
        <f>+LATrackerALL!E70</f>
        <v>2</v>
      </c>
      <c r="D69" s="397">
        <f>+LATrackerALL!C70</f>
        <v>0</v>
      </c>
      <c r="E69" s="398">
        <f>+LATrackerALL!D70</f>
        <v>0.66666666666666663</v>
      </c>
      <c r="F69" s="391"/>
      <c r="G69" s="391"/>
      <c r="H69" s="392"/>
      <c r="I69" s="391"/>
      <c r="J69" s="391"/>
      <c r="K69" s="392"/>
      <c r="L69" s="391"/>
      <c r="M69" s="391"/>
      <c r="N69" s="391"/>
    </row>
    <row r="70" spans="1:14" ht="16.55" hidden="1" customHeight="1" thickBot="1" x14ac:dyDescent="0.35">
      <c r="A70" s="378" t="str">
        <f t="shared" ca="1" si="0"/>
        <v/>
      </c>
      <c r="B70" s="395">
        <f>+LATrackerALL!A71</f>
        <v>42799</v>
      </c>
      <c r="C70" s="396">
        <f>+LATrackerALL!E71</f>
        <v>2</v>
      </c>
      <c r="D70" s="397">
        <f>+LATrackerALL!C71</f>
        <v>0</v>
      </c>
      <c r="E70" s="398">
        <f>+LATrackerALL!D71</f>
        <v>0.66666666666666663</v>
      </c>
      <c r="F70" s="391"/>
      <c r="G70" s="391"/>
      <c r="H70" s="392"/>
      <c r="I70" s="391"/>
      <c r="J70" s="391"/>
      <c r="K70" s="392"/>
      <c r="L70" s="391"/>
      <c r="M70" s="391"/>
      <c r="N70" s="391"/>
    </row>
    <row r="71" spans="1:14" ht="16.55" hidden="1" customHeight="1" thickBot="1" x14ac:dyDescent="0.35">
      <c r="A71" s="378" t="str">
        <f t="shared" ca="1" si="0"/>
        <v/>
      </c>
      <c r="B71" s="395">
        <f>+LATrackerALL!A72</f>
        <v>42800</v>
      </c>
      <c r="C71" s="396">
        <f>+LATrackerALL!E72</f>
        <v>2</v>
      </c>
      <c r="D71" s="397">
        <f>+LATrackerALL!C72</f>
        <v>0</v>
      </c>
      <c r="E71" s="398">
        <f>+LATrackerALL!D72</f>
        <v>0.66666666666666663</v>
      </c>
      <c r="F71" s="391"/>
      <c r="G71" s="391"/>
      <c r="H71" s="392"/>
      <c r="I71" s="391"/>
      <c r="J71" s="391"/>
      <c r="K71" s="392"/>
      <c r="L71" s="391"/>
      <c r="M71" s="391"/>
      <c r="N71" s="391"/>
    </row>
    <row r="72" spans="1:14" ht="16.55" hidden="1" customHeight="1" thickBot="1" x14ac:dyDescent="0.35">
      <c r="A72" s="378" t="str">
        <f t="shared" ca="1" si="0"/>
        <v/>
      </c>
      <c r="B72" s="395">
        <f>+LATrackerALL!A73</f>
        <v>42801</v>
      </c>
      <c r="C72" s="396">
        <f>+LATrackerALL!E73</f>
        <v>2</v>
      </c>
      <c r="D72" s="397">
        <f>+LATrackerALL!C73</f>
        <v>0</v>
      </c>
      <c r="E72" s="398">
        <f>+LATrackerALL!D73</f>
        <v>0.66666666666666663</v>
      </c>
      <c r="F72" s="391"/>
      <c r="G72" s="391"/>
      <c r="H72" s="392"/>
      <c r="I72" s="391"/>
      <c r="J72" s="391"/>
      <c r="K72" s="392"/>
      <c r="L72" s="391"/>
      <c r="M72" s="391"/>
      <c r="N72" s="391"/>
    </row>
    <row r="73" spans="1:14" ht="16.55" hidden="1" customHeight="1" thickBot="1" x14ac:dyDescent="0.35">
      <c r="A73" s="378" t="str">
        <f t="shared" ref="A73:A136" ca="1" si="1">IF(TODAY()&gt;=B73,"==&gt;","")</f>
        <v/>
      </c>
      <c r="B73" s="395">
        <f>+LATrackerALL!A74</f>
        <v>42802</v>
      </c>
      <c r="C73" s="396">
        <f>+LATrackerALL!E74</f>
        <v>2</v>
      </c>
      <c r="D73" s="397">
        <f>+LATrackerALL!C74</f>
        <v>0</v>
      </c>
      <c r="E73" s="398">
        <f>+LATrackerALL!D74</f>
        <v>0.66666666666666663</v>
      </c>
      <c r="F73" s="391"/>
      <c r="G73" s="391"/>
      <c r="H73" s="392"/>
      <c r="I73" s="391"/>
      <c r="J73" s="391"/>
      <c r="K73" s="392"/>
      <c r="L73" s="391"/>
      <c r="M73" s="391"/>
      <c r="N73" s="391"/>
    </row>
    <row r="74" spans="1:14" ht="16.55" hidden="1" customHeight="1" thickBot="1" x14ac:dyDescent="0.35">
      <c r="A74" s="378" t="str">
        <f t="shared" ca="1" si="1"/>
        <v/>
      </c>
      <c r="B74" s="395">
        <f>+LATrackerALL!A75</f>
        <v>42803</v>
      </c>
      <c r="C74" s="396">
        <f>+LATrackerALL!E75</f>
        <v>2</v>
      </c>
      <c r="D74" s="397">
        <f>+LATrackerALL!C75</f>
        <v>0</v>
      </c>
      <c r="E74" s="398">
        <f>+LATrackerALL!D75</f>
        <v>0.66666666666666663</v>
      </c>
      <c r="F74" s="391"/>
      <c r="G74" s="391"/>
      <c r="H74" s="392"/>
      <c r="I74" s="391"/>
      <c r="J74" s="391"/>
      <c r="K74" s="392"/>
      <c r="L74" s="391"/>
      <c r="M74" s="391"/>
      <c r="N74" s="391"/>
    </row>
    <row r="75" spans="1:14" ht="16.55" hidden="1" customHeight="1" thickBot="1" x14ac:dyDescent="0.35">
      <c r="A75" s="378" t="str">
        <f t="shared" ca="1" si="1"/>
        <v/>
      </c>
      <c r="B75" s="395">
        <f>+LATrackerALL!A76</f>
        <v>42804</v>
      </c>
      <c r="C75" s="396">
        <f>+LATrackerALL!E76</f>
        <v>2</v>
      </c>
      <c r="D75" s="397">
        <f>+LATrackerALL!C76</f>
        <v>0</v>
      </c>
      <c r="E75" s="398">
        <f>+LATrackerALL!D76</f>
        <v>0.66666666666666663</v>
      </c>
      <c r="F75" s="391"/>
      <c r="G75" s="391"/>
      <c r="H75" s="392"/>
      <c r="I75" s="391"/>
      <c r="J75" s="391"/>
      <c r="K75" s="392"/>
      <c r="L75" s="391"/>
      <c r="M75" s="391"/>
      <c r="N75" s="391"/>
    </row>
    <row r="76" spans="1:14" ht="16.55" hidden="1" customHeight="1" thickBot="1" x14ac:dyDescent="0.35">
      <c r="A76" s="378" t="str">
        <f t="shared" ca="1" si="1"/>
        <v/>
      </c>
      <c r="B76" s="395">
        <f>+LATrackerALL!A77</f>
        <v>42805</v>
      </c>
      <c r="C76" s="396">
        <f>+LATrackerALL!E77</f>
        <v>2</v>
      </c>
      <c r="D76" s="397">
        <f>+LATrackerALL!C77</f>
        <v>0</v>
      </c>
      <c r="E76" s="398">
        <f>+LATrackerALL!D77</f>
        <v>0.66666666666666663</v>
      </c>
      <c r="F76" s="391"/>
      <c r="G76" s="391"/>
      <c r="H76" s="392"/>
      <c r="I76" s="391"/>
      <c r="J76" s="391"/>
      <c r="K76" s="392"/>
      <c r="L76" s="391"/>
      <c r="M76" s="391"/>
      <c r="N76" s="391"/>
    </row>
    <row r="77" spans="1:14" ht="16.55" hidden="1" customHeight="1" thickBot="1" x14ac:dyDescent="0.35">
      <c r="A77" s="378" t="str">
        <f t="shared" ca="1" si="1"/>
        <v/>
      </c>
      <c r="B77" s="395">
        <f>+LATrackerALL!A78</f>
        <v>42806</v>
      </c>
      <c r="C77" s="396">
        <f>+LATrackerALL!E78</f>
        <v>2</v>
      </c>
      <c r="D77" s="397">
        <f>+LATrackerALL!C78</f>
        <v>0</v>
      </c>
      <c r="E77" s="398">
        <f>+LATrackerALL!D78</f>
        <v>0.66666666666666663</v>
      </c>
      <c r="F77" s="391"/>
      <c r="G77" s="391"/>
      <c r="H77" s="392"/>
      <c r="I77" s="391"/>
      <c r="J77" s="391"/>
      <c r="K77" s="392"/>
      <c r="L77" s="391"/>
      <c r="M77" s="391"/>
      <c r="N77" s="391"/>
    </row>
    <row r="78" spans="1:14" ht="16.55" hidden="1" customHeight="1" thickBot="1" x14ac:dyDescent="0.35">
      <c r="A78" s="378" t="str">
        <f t="shared" ca="1" si="1"/>
        <v/>
      </c>
      <c r="B78" s="395">
        <f>+LATrackerALL!A79</f>
        <v>42807</v>
      </c>
      <c r="C78" s="396">
        <f>+LATrackerALL!E79</f>
        <v>2</v>
      </c>
      <c r="D78" s="397">
        <f>+LATrackerALL!C79</f>
        <v>0</v>
      </c>
      <c r="E78" s="398">
        <f>+LATrackerALL!D79</f>
        <v>0.66666666666666663</v>
      </c>
      <c r="F78" s="391"/>
      <c r="G78" s="391"/>
      <c r="H78" s="392"/>
      <c r="I78" s="391"/>
      <c r="J78" s="391"/>
      <c r="K78" s="392"/>
      <c r="L78" s="391"/>
      <c r="M78" s="391"/>
      <c r="N78" s="391"/>
    </row>
    <row r="79" spans="1:14" ht="16.55" hidden="1" customHeight="1" thickBot="1" x14ac:dyDescent="0.35">
      <c r="A79" s="378" t="str">
        <f t="shared" ca="1" si="1"/>
        <v/>
      </c>
      <c r="B79" s="395">
        <f>+LATrackerALL!A80</f>
        <v>42808</v>
      </c>
      <c r="C79" s="396">
        <f>+LATrackerALL!E80</f>
        <v>2</v>
      </c>
      <c r="D79" s="397">
        <f>+LATrackerALL!C80</f>
        <v>0</v>
      </c>
      <c r="E79" s="398">
        <f>+LATrackerALL!D80</f>
        <v>0.66666666666666663</v>
      </c>
      <c r="F79" s="391"/>
      <c r="G79" s="391"/>
      <c r="H79" s="392"/>
      <c r="I79" s="391"/>
      <c r="J79" s="391"/>
      <c r="K79" s="392"/>
      <c r="L79" s="391"/>
      <c r="M79" s="391"/>
      <c r="N79" s="391"/>
    </row>
    <row r="80" spans="1:14" ht="16.55" hidden="1" customHeight="1" thickBot="1" x14ac:dyDescent="0.35">
      <c r="A80" s="378" t="str">
        <f t="shared" ca="1" si="1"/>
        <v/>
      </c>
      <c r="B80" s="395">
        <f>+LATrackerALL!A81</f>
        <v>42809</v>
      </c>
      <c r="C80" s="396">
        <f>+LATrackerALL!E81</f>
        <v>2</v>
      </c>
      <c r="D80" s="397">
        <f>+LATrackerALL!C81</f>
        <v>0</v>
      </c>
      <c r="E80" s="398">
        <f>+LATrackerALL!D81</f>
        <v>0.66666666666666663</v>
      </c>
      <c r="F80" s="391"/>
      <c r="G80" s="391"/>
      <c r="H80" s="392"/>
      <c r="I80" s="391"/>
      <c r="J80" s="391"/>
      <c r="K80" s="392"/>
      <c r="L80" s="391"/>
      <c r="M80" s="391"/>
      <c r="N80" s="391"/>
    </row>
    <row r="81" spans="1:14" ht="16.55" hidden="1" customHeight="1" thickBot="1" x14ac:dyDescent="0.35">
      <c r="A81" s="378" t="str">
        <f t="shared" ca="1" si="1"/>
        <v/>
      </c>
      <c r="B81" s="395">
        <f>+LATrackerALL!A82</f>
        <v>42810</v>
      </c>
      <c r="C81" s="396">
        <f>+LATrackerALL!E82</f>
        <v>2</v>
      </c>
      <c r="D81" s="397">
        <f>+LATrackerALL!C82</f>
        <v>0</v>
      </c>
      <c r="E81" s="398">
        <f>+LATrackerALL!D82</f>
        <v>0.66666666666666663</v>
      </c>
      <c r="F81" s="391"/>
      <c r="G81" s="391"/>
      <c r="H81" s="392"/>
      <c r="I81" s="391"/>
      <c r="J81" s="391"/>
      <c r="K81" s="392"/>
      <c r="L81" s="391"/>
      <c r="M81" s="391"/>
      <c r="N81" s="391"/>
    </row>
    <row r="82" spans="1:14" ht="16.55" hidden="1" customHeight="1" thickBot="1" x14ac:dyDescent="0.35">
      <c r="A82" s="378" t="str">
        <f t="shared" ca="1" si="1"/>
        <v/>
      </c>
      <c r="B82" s="395">
        <f>+LATrackerALL!A83</f>
        <v>42811</v>
      </c>
      <c r="C82" s="396">
        <f>+LATrackerALL!E83</f>
        <v>2</v>
      </c>
      <c r="D82" s="397">
        <f>+LATrackerALL!C83</f>
        <v>0</v>
      </c>
      <c r="E82" s="398">
        <f>+LATrackerALL!D83</f>
        <v>0.66666666666666663</v>
      </c>
      <c r="F82" s="391"/>
      <c r="G82" s="391"/>
      <c r="H82" s="392"/>
      <c r="I82" s="391"/>
      <c r="J82" s="391"/>
      <c r="K82" s="392"/>
      <c r="L82" s="391"/>
      <c r="M82" s="391"/>
      <c r="N82" s="391"/>
    </row>
    <row r="83" spans="1:14" ht="16.55" hidden="1" customHeight="1" thickBot="1" x14ac:dyDescent="0.35">
      <c r="A83" s="378" t="str">
        <f t="shared" ca="1" si="1"/>
        <v/>
      </c>
      <c r="B83" s="395">
        <f>+LATrackerALL!A84</f>
        <v>42812</v>
      </c>
      <c r="C83" s="396">
        <f>+LATrackerALL!E84</f>
        <v>2</v>
      </c>
      <c r="D83" s="397">
        <f>+LATrackerALL!C84</f>
        <v>0</v>
      </c>
      <c r="E83" s="398">
        <f>+LATrackerALL!D84</f>
        <v>0.66666666666666663</v>
      </c>
      <c r="F83" s="391"/>
      <c r="G83" s="391"/>
      <c r="H83" s="392"/>
      <c r="I83" s="391"/>
      <c r="J83" s="391"/>
      <c r="K83" s="392"/>
      <c r="L83" s="391"/>
      <c r="M83" s="391"/>
      <c r="N83" s="391"/>
    </row>
    <row r="84" spans="1:14" ht="16.55" hidden="1" customHeight="1" thickBot="1" x14ac:dyDescent="0.35">
      <c r="A84" s="378" t="str">
        <f t="shared" ca="1" si="1"/>
        <v/>
      </c>
      <c r="B84" s="395">
        <f>+LATrackerALL!A85</f>
        <v>42813</v>
      </c>
      <c r="C84" s="396">
        <f>+LATrackerALL!E85</f>
        <v>2</v>
      </c>
      <c r="D84" s="397">
        <f>+LATrackerALL!C85</f>
        <v>0</v>
      </c>
      <c r="E84" s="398">
        <f>+LATrackerALL!D85</f>
        <v>0.66666666666666663</v>
      </c>
      <c r="F84" s="391"/>
      <c r="G84" s="391"/>
      <c r="H84" s="392"/>
      <c r="I84" s="391"/>
      <c r="J84" s="391"/>
      <c r="K84" s="392"/>
      <c r="L84" s="391"/>
      <c r="M84" s="391"/>
      <c r="N84" s="391"/>
    </row>
    <row r="85" spans="1:14" ht="16.55" hidden="1" customHeight="1" thickBot="1" x14ac:dyDescent="0.35">
      <c r="A85" s="378" t="str">
        <f t="shared" ca="1" si="1"/>
        <v/>
      </c>
      <c r="B85" s="395">
        <f>+LATrackerALL!A86</f>
        <v>42814</v>
      </c>
      <c r="C85" s="396">
        <f>+LATrackerALL!E86</f>
        <v>2</v>
      </c>
      <c r="D85" s="397">
        <f>+LATrackerALL!C86</f>
        <v>0</v>
      </c>
      <c r="E85" s="398">
        <f>+LATrackerALL!D86</f>
        <v>0.66666666666666663</v>
      </c>
      <c r="F85" s="391"/>
      <c r="G85" s="391"/>
      <c r="H85" s="392"/>
      <c r="I85" s="391"/>
      <c r="J85" s="391"/>
      <c r="K85" s="392"/>
      <c r="L85" s="391"/>
      <c r="M85" s="391"/>
      <c r="N85" s="391"/>
    </row>
    <row r="86" spans="1:14" ht="16.55" hidden="1" customHeight="1" thickBot="1" x14ac:dyDescent="0.35">
      <c r="A86" s="378" t="str">
        <f t="shared" ca="1" si="1"/>
        <v/>
      </c>
      <c r="B86" s="395">
        <f>+LATrackerALL!A87</f>
        <v>42815</v>
      </c>
      <c r="C86" s="396">
        <f>+LATrackerALL!E87</f>
        <v>2</v>
      </c>
      <c r="D86" s="397">
        <f>+LATrackerALL!C87</f>
        <v>0</v>
      </c>
      <c r="E86" s="398">
        <f>+LATrackerALL!D87</f>
        <v>0.66666666666666663</v>
      </c>
      <c r="F86" s="391"/>
      <c r="G86" s="391"/>
      <c r="H86" s="392"/>
      <c r="I86" s="391"/>
      <c r="J86" s="391"/>
      <c r="K86" s="392"/>
      <c r="L86" s="391"/>
      <c r="M86" s="391"/>
      <c r="N86" s="391"/>
    </row>
    <row r="87" spans="1:14" ht="16.55" hidden="1" customHeight="1" thickBot="1" x14ac:dyDescent="0.35">
      <c r="A87" s="378" t="str">
        <f t="shared" ca="1" si="1"/>
        <v/>
      </c>
      <c r="B87" s="395">
        <f>+LATrackerALL!A88</f>
        <v>42816</v>
      </c>
      <c r="C87" s="396">
        <f>+LATrackerALL!E88</f>
        <v>2</v>
      </c>
      <c r="D87" s="397">
        <f>+LATrackerALL!C88</f>
        <v>0</v>
      </c>
      <c r="E87" s="398">
        <f>+LATrackerALL!D88</f>
        <v>0.66666666666666663</v>
      </c>
      <c r="F87" s="391"/>
      <c r="G87" s="391"/>
      <c r="H87" s="392"/>
      <c r="I87" s="391"/>
      <c r="J87" s="391"/>
      <c r="K87" s="392"/>
      <c r="L87" s="391"/>
      <c r="M87" s="391"/>
      <c r="N87" s="391"/>
    </row>
    <row r="88" spans="1:14" ht="16.55" hidden="1" customHeight="1" thickBot="1" x14ac:dyDescent="0.35">
      <c r="A88" s="378" t="str">
        <f t="shared" ca="1" si="1"/>
        <v/>
      </c>
      <c r="B88" s="395">
        <f>+LATrackerALL!A89</f>
        <v>42817</v>
      </c>
      <c r="C88" s="396">
        <f>+LATrackerALL!E89</f>
        <v>2</v>
      </c>
      <c r="D88" s="397">
        <f>+LATrackerALL!C89</f>
        <v>0</v>
      </c>
      <c r="E88" s="398">
        <f>+LATrackerALL!D89</f>
        <v>0.66666666666666663</v>
      </c>
      <c r="F88" s="391"/>
      <c r="G88" s="391"/>
      <c r="H88" s="392"/>
      <c r="I88" s="391"/>
      <c r="J88" s="391"/>
      <c r="K88" s="392"/>
      <c r="L88" s="391"/>
      <c r="M88" s="391"/>
      <c r="N88" s="391"/>
    </row>
    <row r="89" spans="1:14" ht="16.55" hidden="1" customHeight="1" thickBot="1" x14ac:dyDescent="0.35">
      <c r="A89" s="378" t="str">
        <f t="shared" ca="1" si="1"/>
        <v/>
      </c>
      <c r="B89" s="395">
        <f>+LATrackerALL!A90</f>
        <v>42818</v>
      </c>
      <c r="C89" s="396">
        <f>+LATrackerALL!E90</f>
        <v>2</v>
      </c>
      <c r="D89" s="397">
        <f>+LATrackerALL!C90</f>
        <v>0</v>
      </c>
      <c r="E89" s="398">
        <f>+LATrackerALL!D90</f>
        <v>0.66666666666666663</v>
      </c>
      <c r="F89" s="391"/>
      <c r="G89" s="391"/>
      <c r="H89" s="392"/>
      <c r="I89" s="391"/>
      <c r="J89" s="391"/>
      <c r="K89" s="392"/>
      <c r="L89" s="391"/>
      <c r="M89" s="391"/>
      <c r="N89" s="391"/>
    </row>
    <row r="90" spans="1:14" ht="16.55" hidden="1" customHeight="1" thickBot="1" x14ac:dyDescent="0.35">
      <c r="A90" s="378" t="str">
        <f t="shared" ca="1" si="1"/>
        <v/>
      </c>
      <c r="B90" s="395">
        <f>+LATrackerALL!A91</f>
        <v>42819</v>
      </c>
      <c r="C90" s="396">
        <f>+LATrackerALL!E91</f>
        <v>2</v>
      </c>
      <c r="D90" s="397">
        <f>+LATrackerALL!C91</f>
        <v>0</v>
      </c>
      <c r="E90" s="398">
        <f>+LATrackerALL!D91</f>
        <v>0.66666666666666663</v>
      </c>
      <c r="F90" s="391"/>
      <c r="G90" s="391"/>
      <c r="H90" s="392"/>
      <c r="I90" s="391"/>
      <c r="J90" s="391"/>
      <c r="K90" s="392"/>
      <c r="L90" s="391"/>
      <c r="M90" s="391"/>
      <c r="N90" s="391"/>
    </row>
    <row r="91" spans="1:14" ht="16.55" hidden="1" customHeight="1" thickBot="1" x14ac:dyDescent="0.35">
      <c r="A91" s="378" t="str">
        <f t="shared" ca="1" si="1"/>
        <v/>
      </c>
      <c r="B91" s="395">
        <f>+LATrackerALL!A92</f>
        <v>42820</v>
      </c>
      <c r="C91" s="396">
        <f>+LATrackerALL!E92</f>
        <v>2</v>
      </c>
      <c r="D91" s="397">
        <f>+LATrackerALL!C92</f>
        <v>0</v>
      </c>
      <c r="E91" s="398">
        <f>+LATrackerALL!D92</f>
        <v>0.66666666666666663</v>
      </c>
      <c r="F91" s="391"/>
      <c r="G91" s="391"/>
      <c r="H91" s="392"/>
      <c r="I91" s="391"/>
      <c r="J91" s="391"/>
      <c r="K91" s="392"/>
      <c r="L91" s="391"/>
      <c r="M91" s="391"/>
      <c r="N91" s="391"/>
    </row>
    <row r="92" spans="1:14" ht="16.55" hidden="1" customHeight="1" thickBot="1" x14ac:dyDescent="0.35">
      <c r="A92" s="378" t="str">
        <f t="shared" ca="1" si="1"/>
        <v/>
      </c>
      <c r="B92" s="395">
        <f>+LATrackerALL!A93</f>
        <v>42821</v>
      </c>
      <c r="C92" s="396">
        <f>+LATrackerALL!E93</f>
        <v>2</v>
      </c>
      <c r="D92" s="397">
        <f>+LATrackerALL!C93</f>
        <v>0</v>
      </c>
      <c r="E92" s="398">
        <f>+LATrackerALL!D93</f>
        <v>0.66666666666666663</v>
      </c>
      <c r="F92" s="391"/>
      <c r="G92" s="391"/>
      <c r="H92" s="392"/>
      <c r="I92" s="391"/>
      <c r="J92" s="391"/>
      <c r="K92" s="392"/>
      <c r="L92" s="391"/>
      <c r="M92" s="391"/>
      <c r="N92" s="391"/>
    </row>
    <row r="93" spans="1:14" ht="16.55" hidden="1" customHeight="1" thickBot="1" x14ac:dyDescent="0.35">
      <c r="A93" s="378" t="str">
        <f t="shared" ca="1" si="1"/>
        <v/>
      </c>
      <c r="B93" s="395">
        <f>+LATrackerALL!A94</f>
        <v>42822</v>
      </c>
      <c r="C93" s="396">
        <f>+LATrackerALL!E94</f>
        <v>2</v>
      </c>
      <c r="D93" s="397">
        <f>+LATrackerALL!C94</f>
        <v>0</v>
      </c>
      <c r="E93" s="398">
        <f>+LATrackerALL!D94</f>
        <v>0.66666666666666663</v>
      </c>
      <c r="F93" s="391"/>
      <c r="G93" s="391"/>
      <c r="H93" s="392"/>
      <c r="I93" s="391"/>
      <c r="J93" s="391"/>
      <c r="K93" s="392"/>
      <c r="L93" s="391"/>
      <c r="M93" s="391"/>
      <c r="N93" s="391"/>
    </row>
    <row r="94" spans="1:14" ht="16.55" hidden="1" customHeight="1" thickBot="1" x14ac:dyDescent="0.35">
      <c r="A94" s="378" t="str">
        <f t="shared" ca="1" si="1"/>
        <v/>
      </c>
      <c r="B94" s="395">
        <f>+LATrackerALL!A95</f>
        <v>42823</v>
      </c>
      <c r="C94" s="396">
        <f>+LATrackerALL!E95</f>
        <v>2</v>
      </c>
      <c r="D94" s="397">
        <f>+LATrackerALL!C95</f>
        <v>0</v>
      </c>
      <c r="E94" s="398">
        <f>+LATrackerALL!D95</f>
        <v>0.66666666666666663</v>
      </c>
      <c r="F94" s="391"/>
      <c r="G94" s="391"/>
      <c r="H94" s="392"/>
      <c r="I94" s="391"/>
      <c r="J94" s="391"/>
      <c r="K94" s="392"/>
      <c r="L94" s="391"/>
      <c r="M94" s="391"/>
      <c r="N94" s="391"/>
    </row>
    <row r="95" spans="1:14" ht="16.55" hidden="1" customHeight="1" thickBot="1" x14ac:dyDescent="0.35">
      <c r="A95" s="378" t="str">
        <f t="shared" ca="1" si="1"/>
        <v/>
      </c>
      <c r="B95" s="395">
        <f>+LATrackerALL!A96</f>
        <v>42824</v>
      </c>
      <c r="C95" s="396">
        <f>+LATrackerALL!E96</f>
        <v>2</v>
      </c>
      <c r="D95" s="397">
        <f>+LATrackerALL!C96</f>
        <v>0</v>
      </c>
      <c r="E95" s="398">
        <f>+LATrackerALL!D96</f>
        <v>0.66666666666666663</v>
      </c>
      <c r="F95" s="391"/>
      <c r="G95" s="391"/>
      <c r="H95" s="392"/>
      <c r="I95" s="391"/>
      <c r="J95" s="391"/>
      <c r="K95" s="392"/>
      <c r="L95" s="391"/>
      <c r="M95" s="391"/>
      <c r="N95" s="391"/>
    </row>
    <row r="96" spans="1:14" ht="16.55" hidden="1" customHeight="1" thickBot="1" x14ac:dyDescent="0.35">
      <c r="A96" s="378" t="str">
        <f t="shared" ca="1" si="1"/>
        <v/>
      </c>
      <c r="B96" s="395">
        <f>+LATrackerALL!A97</f>
        <v>42825</v>
      </c>
      <c r="C96" s="396">
        <f>+LATrackerALL!E97</f>
        <v>2</v>
      </c>
      <c r="D96" s="397">
        <f>+LATrackerALL!C97</f>
        <v>0</v>
      </c>
      <c r="E96" s="398">
        <f>+LATrackerALL!D97</f>
        <v>0.66666666666666663</v>
      </c>
      <c r="F96" s="391"/>
      <c r="G96" s="391"/>
      <c r="H96" s="392"/>
      <c r="I96" s="391"/>
      <c r="J96" s="391"/>
      <c r="K96" s="392"/>
      <c r="L96" s="391"/>
      <c r="M96" s="391"/>
      <c r="N96" s="391"/>
    </row>
    <row r="97" spans="1:14" ht="16.55" hidden="1" customHeight="1" thickBot="1" x14ac:dyDescent="0.35">
      <c r="A97" s="378" t="str">
        <f t="shared" ca="1" si="1"/>
        <v/>
      </c>
      <c r="B97" s="395">
        <f>+LATrackerALL!A98</f>
        <v>42826</v>
      </c>
      <c r="C97" s="396">
        <f>+LATrackerALL!E98</f>
        <v>2</v>
      </c>
      <c r="D97" s="397">
        <f>+LATrackerALL!C98</f>
        <v>0</v>
      </c>
      <c r="E97" s="398">
        <f>+LATrackerALL!D98</f>
        <v>0.66666666666666663</v>
      </c>
      <c r="F97" s="391"/>
      <c r="G97" s="391"/>
      <c r="H97" s="392"/>
      <c r="I97" s="391"/>
      <c r="J97" s="391"/>
      <c r="K97" s="392"/>
      <c r="L97" s="391"/>
      <c r="M97" s="391"/>
      <c r="N97" s="391"/>
    </row>
    <row r="98" spans="1:14" ht="16.55" hidden="1" customHeight="1" thickBot="1" x14ac:dyDescent="0.35">
      <c r="A98" s="378" t="str">
        <f t="shared" ca="1" si="1"/>
        <v/>
      </c>
      <c r="B98" s="395">
        <f>+LATrackerALL!A99</f>
        <v>42827</v>
      </c>
      <c r="C98" s="396">
        <f>+LATrackerALL!E99</f>
        <v>2</v>
      </c>
      <c r="D98" s="397">
        <f>+LATrackerALL!C99</f>
        <v>0</v>
      </c>
      <c r="E98" s="398">
        <f>+LATrackerALL!D99</f>
        <v>0.66666666666666663</v>
      </c>
      <c r="F98" s="391"/>
      <c r="G98" s="391"/>
      <c r="H98" s="392"/>
      <c r="I98" s="391"/>
      <c r="J98" s="391"/>
      <c r="K98" s="392"/>
      <c r="L98" s="391"/>
      <c r="M98" s="391"/>
      <c r="N98" s="391"/>
    </row>
    <row r="99" spans="1:14" ht="16.55" hidden="1" customHeight="1" thickBot="1" x14ac:dyDescent="0.35">
      <c r="A99" s="378" t="str">
        <f t="shared" ca="1" si="1"/>
        <v/>
      </c>
      <c r="B99" s="395">
        <f>+LATrackerALL!A100</f>
        <v>42828</v>
      </c>
      <c r="C99" s="396">
        <f>+LATrackerALL!E100</f>
        <v>2</v>
      </c>
      <c r="D99" s="397">
        <f>+LATrackerALL!C100</f>
        <v>0</v>
      </c>
      <c r="E99" s="398">
        <f>+LATrackerALL!D100</f>
        <v>0.66666666666666663</v>
      </c>
      <c r="F99" s="391"/>
      <c r="G99" s="391"/>
      <c r="H99" s="392"/>
      <c r="I99" s="391"/>
      <c r="J99" s="391"/>
      <c r="K99" s="392"/>
      <c r="L99" s="391"/>
      <c r="M99" s="391"/>
      <c r="N99" s="391"/>
    </row>
    <row r="100" spans="1:14" ht="16.55" hidden="1" customHeight="1" thickBot="1" x14ac:dyDescent="0.35">
      <c r="A100" s="378" t="str">
        <f t="shared" ca="1" si="1"/>
        <v/>
      </c>
      <c r="B100" s="395">
        <f>+LATrackerALL!A101</f>
        <v>42829</v>
      </c>
      <c r="C100" s="396">
        <f>+LATrackerALL!E101</f>
        <v>2</v>
      </c>
      <c r="D100" s="397">
        <f>+LATrackerALL!C101</f>
        <v>0</v>
      </c>
      <c r="E100" s="398">
        <f>+LATrackerALL!D101</f>
        <v>0.66666666666666663</v>
      </c>
      <c r="F100" s="391"/>
      <c r="G100" s="391"/>
      <c r="H100" s="392"/>
      <c r="I100" s="391"/>
      <c r="J100" s="391"/>
      <c r="K100" s="392"/>
      <c r="L100" s="391"/>
      <c r="M100" s="391"/>
      <c r="N100" s="391"/>
    </row>
    <row r="101" spans="1:14" ht="16.55" hidden="1" customHeight="1" thickBot="1" x14ac:dyDescent="0.35">
      <c r="A101" s="378" t="str">
        <f t="shared" ca="1" si="1"/>
        <v/>
      </c>
      <c r="B101" s="395">
        <f>+LATrackerALL!A102</f>
        <v>42830</v>
      </c>
      <c r="C101" s="396">
        <f>+LATrackerALL!E102</f>
        <v>2</v>
      </c>
      <c r="D101" s="397">
        <f>+LATrackerALL!C102</f>
        <v>0</v>
      </c>
      <c r="E101" s="398">
        <f>+LATrackerALL!D102</f>
        <v>0.66666666666666663</v>
      </c>
      <c r="F101" s="391"/>
      <c r="G101" s="391"/>
      <c r="H101" s="392"/>
      <c r="I101" s="391"/>
      <c r="J101" s="391"/>
      <c r="K101" s="392"/>
      <c r="L101" s="391"/>
      <c r="M101" s="391"/>
      <c r="N101" s="391"/>
    </row>
    <row r="102" spans="1:14" ht="16.55" hidden="1" customHeight="1" thickBot="1" x14ac:dyDescent="0.35">
      <c r="A102" s="378" t="str">
        <f t="shared" ca="1" si="1"/>
        <v/>
      </c>
      <c r="B102" s="395">
        <f>+LATrackerALL!A103</f>
        <v>42831</v>
      </c>
      <c r="C102" s="396">
        <f>+LATrackerALL!E103</f>
        <v>2</v>
      </c>
      <c r="D102" s="397">
        <f>+LATrackerALL!C103</f>
        <v>0</v>
      </c>
      <c r="E102" s="398">
        <f>+LATrackerALL!D103</f>
        <v>0.66666666666666663</v>
      </c>
      <c r="F102" s="391"/>
      <c r="G102" s="391"/>
      <c r="H102" s="392"/>
      <c r="I102" s="391"/>
      <c r="J102" s="391"/>
      <c r="K102" s="392"/>
      <c r="L102" s="391"/>
      <c r="M102" s="391"/>
      <c r="N102" s="391"/>
    </row>
    <row r="103" spans="1:14" ht="16.55" hidden="1" customHeight="1" thickBot="1" x14ac:dyDescent="0.35">
      <c r="A103" s="378" t="str">
        <f t="shared" ca="1" si="1"/>
        <v/>
      </c>
      <c r="B103" s="395">
        <f>+LATrackerALL!A104</f>
        <v>42832</v>
      </c>
      <c r="C103" s="396">
        <f>+LATrackerALL!E104</f>
        <v>2</v>
      </c>
      <c r="D103" s="397">
        <f>+LATrackerALL!C104</f>
        <v>0</v>
      </c>
      <c r="E103" s="398">
        <f>+LATrackerALL!D104</f>
        <v>0.66666666666666663</v>
      </c>
      <c r="F103" s="391"/>
      <c r="G103" s="391"/>
      <c r="H103" s="392"/>
      <c r="I103" s="391"/>
      <c r="J103" s="391"/>
      <c r="K103" s="392"/>
      <c r="L103" s="391"/>
      <c r="M103" s="391"/>
      <c r="N103" s="391"/>
    </row>
    <row r="104" spans="1:14" ht="16.55" hidden="1" customHeight="1" thickBot="1" x14ac:dyDescent="0.35">
      <c r="A104" s="378" t="str">
        <f t="shared" ca="1" si="1"/>
        <v/>
      </c>
      <c r="B104" s="395">
        <f>+LATrackerALL!A105</f>
        <v>42833</v>
      </c>
      <c r="C104" s="396">
        <f>+LATrackerALL!E105</f>
        <v>2</v>
      </c>
      <c r="D104" s="397">
        <f>+LATrackerALL!C105</f>
        <v>0</v>
      </c>
      <c r="E104" s="398">
        <f>+LATrackerALL!D105</f>
        <v>0.66666666666666663</v>
      </c>
      <c r="F104" s="391"/>
      <c r="G104" s="391"/>
      <c r="H104" s="392"/>
      <c r="I104" s="391"/>
      <c r="J104" s="391"/>
      <c r="K104" s="392"/>
      <c r="L104" s="391"/>
      <c r="M104" s="391"/>
      <c r="N104" s="391"/>
    </row>
    <row r="105" spans="1:14" ht="16.55" hidden="1" customHeight="1" thickBot="1" x14ac:dyDescent="0.35">
      <c r="A105" s="378" t="str">
        <f t="shared" ca="1" si="1"/>
        <v/>
      </c>
      <c r="B105" s="395">
        <f>+LATrackerALL!A106</f>
        <v>42834</v>
      </c>
      <c r="C105" s="396">
        <f>+LATrackerALL!E106</f>
        <v>2</v>
      </c>
      <c r="D105" s="397">
        <f>+LATrackerALL!C106</f>
        <v>0</v>
      </c>
      <c r="E105" s="398">
        <f>+LATrackerALL!D106</f>
        <v>0.66666666666666663</v>
      </c>
      <c r="F105" s="391"/>
      <c r="G105" s="391"/>
      <c r="H105" s="392"/>
      <c r="I105" s="391"/>
      <c r="J105" s="391"/>
      <c r="K105" s="392"/>
      <c r="L105" s="391"/>
      <c r="M105" s="391"/>
      <c r="N105" s="391"/>
    </row>
    <row r="106" spans="1:14" ht="16.55" hidden="1" customHeight="1" thickBot="1" x14ac:dyDescent="0.35">
      <c r="A106" s="378" t="str">
        <f t="shared" ca="1" si="1"/>
        <v/>
      </c>
      <c r="B106" s="395">
        <f>+LATrackerALL!A107</f>
        <v>42835</v>
      </c>
      <c r="C106" s="396">
        <f>+LATrackerALL!E107</f>
        <v>2</v>
      </c>
      <c r="D106" s="397">
        <f>+LATrackerALL!C107</f>
        <v>0</v>
      </c>
      <c r="E106" s="398">
        <f>+LATrackerALL!D107</f>
        <v>0.66666666666666663</v>
      </c>
      <c r="F106" s="391"/>
      <c r="G106" s="391"/>
      <c r="H106" s="392"/>
      <c r="I106" s="391"/>
      <c r="J106" s="391"/>
      <c r="K106" s="392"/>
      <c r="L106" s="391"/>
      <c r="M106" s="391"/>
      <c r="N106" s="391"/>
    </row>
    <row r="107" spans="1:14" ht="16.55" hidden="1" customHeight="1" thickBot="1" x14ac:dyDescent="0.35">
      <c r="A107" s="378" t="str">
        <f t="shared" ca="1" si="1"/>
        <v/>
      </c>
      <c r="B107" s="395">
        <f>+LATrackerALL!A108</f>
        <v>42836</v>
      </c>
      <c r="C107" s="396">
        <f>+LATrackerALL!E108</f>
        <v>2</v>
      </c>
      <c r="D107" s="397">
        <f>+LATrackerALL!C108</f>
        <v>0</v>
      </c>
      <c r="E107" s="398">
        <f>+LATrackerALL!D108</f>
        <v>0.66666666666666663</v>
      </c>
      <c r="F107" s="391"/>
      <c r="G107" s="391"/>
      <c r="H107" s="392"/>
      <c r="I107" s="391"/>
      <c r="J107" s="391"/>
      <c r="K107" s="392"/>
      <c r="L107" s="391"/>
      <c r="M107" s="391"/>
      <c r="N107" s="391"/>
    </row>
    <row r="108" spans="1:14" ht="16.55" hidden="1" customHeight="1" thickBot="1" x14ac:dyDescent="0.35">
      <c r="A108" s="378" t="str">
        <f t="shared" ca="1" si="1"/>
        <v/>
      </c>
      <c r="B108" s="395">
        <f>+LATrackerALL!A109</f>
        <v>42837</v>
      </c>
      <c r="C108" s="396">
        <f>+LATrackerALL!E109</f>
        <v>2</v>
      </c>
      <c r="D108" s="397">
        <f>+LATrackerALL!C109</f>
        <v>0</v>
      </c>
      <c r="E108" s="398">
        <f>+LATrackerALL!D109</f>
        <v>0.66666666666666663</v>
      </c>
      <c r="F108" s="391"/>
      <c r="G108" s="391"/>
      <c r="H108" s="392"/>
      <c r="I108" s="391"/>
      <c r="J108" s="391"/>
      <c r="K108" s="392"/>
      <c r="L108" s="391"/>
      <c r="M108" s="391"/>
      <c r="N108" s="391"/>
    </row>
    <row r="109" spans="1:14" ht="16.55" hidden="1" customHeight="1" thickBot="1" x14ac:dyDescent="0.35">
      <c r="A109" s="378" t="str">
        <f t="shared" ca="1" si="1"/>
        <v/>
      </c>
      <c r="B109" s="395">
        <f>+LATrackerALL!A110</f>
        <v>42838</v>
      </c>
      <c r="C109" s="396">
        <f>+LATrackerALL!E110</f>
        <v>2</v>
      </c>
      <c r="D109" s="397">
        <f>+LATrackerALL!C110</f>
        <v>0</v>
      </c>
      <c r="E109" s="398">
        <f>+LATrackerALL!D110</f>
        <v>0.66666666666666663</v>
      </c>
      <c r="F109" s="391"/>
      <c r="G109" s="391"/>
      <c r="H109" s="392"/>
      <c r="I109" s="391"/>
      <c r="J109" s="391"/>
      <c r="K109" s="392"/>
      <c r="L109" s="391"/>
      <c r="M109" s="391"/>
      <c r="N109" s="391"/>
    </row>
    <row r="110" spans="1:14" ht="16.55" hidden="1" customHeight="1" thickBot="1" x14ac:dyDescent="0.35">
      <c r="A110" s="378" t="str">
        <f t="shared" ca="1" si="1"/>
        <v/>
      </c>
      <c r="B110" s="395">
        <f>+LATrackerALL!A111</f>
        <v>42839</v>
      </c>
      <c r="C110" s="396">
        <f>+LATrackerALL!E111</f>
        <v>2</v>
      </c>
      <c r="D110" s="397">
        <f>+LATrackerALL!C111</f>
        <v>0</v>
      </c>
      <c r="E110" s="398">
        <f>+LATrackerALL!D111</f>
        <v>0.66666666666666663</v>
      </c>
      <c r="F110" s="391"/>
      <c r="G110" s="391"/>
      <c r="H110" s="392"/>
      <c r="I110" s="391"/>
      <c r="J110" s="391"/>
      <c r="K110" s="392"/>
      <c r="L110" s="391"/>
      <c r="M110" s="391"/>
      <c r="N110" s="391"/>
    </row>
    <row r="111" spans="1:14" ht="16.55" hidden="1" customHeight="1" thickBot="1" x14ac:dyDescent="0.35">
      <c r="A111" s="378" t="str">
        <f t="shared" ca="1" si="1"/>
        <v/>
      </c>
      <c r="B111" s="395">
        <f>+LATrackerALL!A112</f>
        <v>42840</v>
      </c>
      <c r="C111" s="396">
        <f>+LATrackerALL!E112</f>
        <v>2</v>
      </c>
      <c r="D111" s="397">
        <f>+LATrackerALL!C112</f>
        <v>0</v>
      </c>
      <c r="E111" s="398">
        <f>+LATrackerALL!D112</f>
        <v>0.66666666666666663</v>
      </c>
      <c r="F111" s="391"/>
      <c r="G111" s="391"/>
      <c r="H111" s="392"/>
      <c r="I111" s="391"/>
      <c r="J111" s="391"/>
      <c r="K111" s="392"/>
      <c r="L111" s="391"/>
      <c r="M111" s="391"/>
      <c r="N111" s="391"/>
    </row>
    <row r="112" spans="1:14" ht="16.55" hidden="1" customHeight="1" thickBot="1" x14ac:dyDescent="0.35">
      <c r="A112" s="378" t="str">
        <f t="shared" ca="1" si="1"/>
        <v/>
      </c>
      <c r="B112" s="395">
        <f>+LATrackerALL!A113</f>
        <v>42841</v>
      </c>
      <c r="C112" s="396">
        <f>+LATrackerALL!E113</f>
        <v>2</v>
      </c>
      <c r="D112" s="397">
        <f>+LATrackerALL!C113</f>
        <v>0</v>
      </c>
      <c r="E112" s="398">
        <f>+LATrackerALL!D113</f>
        <v>0.66666666666666663</v>
      </c>
      <c r="F112" s="391"/>
      <c r="G112" s="391"/>
      <c r="H112" s="392"/>
      <c r="I112" s="391"/>
      <c r="J112" s="391"/>
      <c r="K112" s="392"/>
      <c r="L112" s="391"/>
      <c r="M112" s="391"/>
      <c r="N112" s="391"/>
    </row>
    <row r="113" spans="1:14" ht="16.55" hidden="1" customHeight="1" thickBot="1" x14ac:dyDescent="0.35">
      <c r="A113" s="378" t="str">
        <f t="shared" ca="1" si="1"/>
        <v/>
      </c>
      <c r="B113" s="395">
        <f>+LATrackerALL!A114</f>
        <v>42842</v>
      </c>
      <c r="C113" s="396">
        <f>+LATrackerALL!E114</f>
        <v>2</v>
      </c>
      <c r="D113" s="397">
        <f>+LATrackerALL!C114</f>
        <v>0</v>
      </c>
      <c r="E113" s="398">
        <f>+LATrackerALL!D114</f>
        <v>0.66666666666666663</v>
      </c>
      <c r="F113" s="391"/>
      <c r="G113" s="391"/>
      <c r="H113" s="392"/>
      <c r="I113" s="391"/>
      <c r="J113" s="391"/>
      <c r="K113" s="392"/>
      <c r="L113" s="391"/>
      <c r="M113" s="391"/>
      <c r="N113" s="391"/>
    </row>
    <row r="114" spans="1:14" ht="16.55" hidden="1" customHeight="1" thickBot="1" x14ac:dyDescent="0.35">
      <c r="A114" s="378" t="str">
        <f t="shared" ca="1" si="1"/>
        <v/>
      </c>
      <c r="B114" s="395">
        <f>+LATrackerALL!A115</f>
        <v>42843</v>
      </c>
      <c r="C114" s="396">
        <f>+LATrackerALL!E115</f>
        <v>2</v>
      </c>
      <c r="D114" s="397">
        <f>+LATrackerALL!C115</f>
        <v>0</v>
      </c>
      <c r="E114" s="398">
        <f>+LATrackerALL!D115</f>
        <v>0.66666666666666663</v>
      </c>
      <c r="F114" s="391"/>
      <c r="G114" s="391"/>
      <c r="H114" s="392"/>
      <c r="I114" s="391"/>
      <c r="J114" s="391"/>
      <c r="K114" s="392"/>
      <c r="L114" s="391"/>
      <c r="M114" s="391"/>
      <c r="N114" s="391"/>
    </row>
    <row r="115" spans="1:14" ht="16.55" hidden="1" customHeight="1" thickBot="1" x14ac:dyDescent="0.35">
      <c r="A115" s="378" t="str">
        <f t="shared" ca="1" si="1"/>
        <v/>
      </c>
      <c r="B115" s="395">
        <f>+LATrackerALL!A116</f>
        <v>42844</v>
      </c>
      <c r="C115" s="396">
        <f>+LATrackerALL!E116</f>
        <v>2</v>
      </c>
      <c r="D115" s="397">
        <f>+LATrackerALL!C116</f>
        <v>0</v>
      </c>
      <c r="E115" s="398">
        <f>+LATrackerALL!D116</f>
        <v>0.66666666666666663</v>
      </c>
      <c r="F115" s="391"/>
      <c r="G115" s="391"/>
      <c r="H115" s="392"/>
      <c r="I115" s="391"/>
      <c r="J115" s="391"/>
      <c r="K115" s="392"/>
      <c r="L115" s="391"/>
      <c r="M115" s="391"/>
      <c r="N115" s="391"/>
    </row>
    <row r="116" spans="1:14" ht="16.55" hidden="1" customHeight="1" thickBot="1" x14ac:dyDescent="0.35">
      <c r="A116" s="378" t="str">
        <f t="shared" ca="1" si="1"/>
        <v/>
      </c>
      <c r="B116" s="395">
        <f>+LATrackerALL!A117</f>
        <v>42845</v>
      </c>
      <c r="C116" s="396">
        <f>+LATrackerALL!E117</f>
        <v>2</v>
      </c>
      <c r="D116" s="397">
        <f>+LATrackerALL!C117</f>
        <v>0</v>
      </c>
      <c r="E116" s="398">
        <f>+LATrackerALL!D117</f>
        <v>0.66666666666666663</v>
      </c>
      <c r="F116" s="391"/>
      <c r="G116" s="391"/>
      <c r="H116" s="392"/>
      <c r="I116" s="391"/>
      <c r="J116" s="391"/>
      <c r="K116" s="392"/>
      <c r="L116" s="391"/>
      <c r="M116" s="391"/>
      <c r="N116" s="391"/>
    </row>
    <row r="117" spans="1:14" ht="16.55" hidden="1" customHeight="1" thickBot="1" x14ac:dyDescent="0.35">
      <c r="A117" s="378" t="str">
        <f t="shared" ca="1" si="1"/>
        <v/>
      </c>
      <c r="B117" s="395">
        <f>+LATrackerALL!A118</f>
        <v>42846</v>
      </c>
      <c r="C117" s="396">
        <f>+LATrackerALL!E118</f>
        <v>2</v>
      </c>
      <c r="D117" s="397">
        <f>+LATrackerALL!C118</f>
        <v>0</v>
      </c>
      <c r="E117" s="398">
        <f>+LATrackerALL!D118</f>
        <v>0.66666666666666663</v>
      </c>
      <c r="F117" s="391"/>
      <c r="G117" s="391"/>
      <c r="H117" s="392"/>
      <c r="I117" s="391"/>
      <c r="J117" s="391"/>
      <c r="K117" s="392"/>
      <c r="L117" s="391"/>
      <c r="M117" s="391"/>
      <c r="N117" s="391"/>
    </row>
    <row r="118" spans="1:14" ht="16.55" hidden="1" customHeight="1" thickBot="1" x14ac:dyDescent="0.35">
      <c r="A118" s="378" t="str">
        <f t="shared" ca="1" si="1"/>
        <v/>
      </c>
      <c r="B118" s="395">
        <f>+LATrackerALL!A119</f>
        <v>42847</v>
      </c>
      <c r="C118" s="396">
        <f>+LATrackerALL!E119</f>
        <v>2</v>
      </c>
      <c r="D118" s="397">
        <f>+LATrackerALL!C119</f>
        <v>0</v>
      </c>
      <c r="E118" s="398">
        <f>+LATrackerALL!D119</f>
        <v>0.66666666666666663</v>
      </c>
      <c r="F118" s="391"/>
      <c r="G118" s="391"/>
      <c r="H118" s="392"/>
      <c r="I118" s="391"/>
      <c r="J118" s="391"/>
      <c r="K118" s="392"/>
      <c r="L118" s="391"/>
      <c r="M118" s="391"/>
      <c r="N118" s="391"/>
    </row>
    <row r="119" spans="1:14" ht="16.55" hidden="1" customHeight="1" thickBot="1" x14ac:dyDescent="0.35">
      <c r="A119" s="378" t="str">
        <f t="shared" ca="1" si="1"/>
        <v/>
      </c>
      <c r="B119" s="395">
        <f>+LATrackerALL!A120</f>
        <v>42848</v>
      </c>
      <c r="C119" s="396">
        <f>+LATrackerALL!E120</f>
        <v>2</v>
      </c>
      <c r="D119" s="397">
        <f>+LATrackerALL!C120</f>
        <v>0</v>
      </c>
      <c r="E119" s="398">
        <f>+LATrackerALL!D120</f>
        <v>0.66666666666666663</v>
      </c>
      <c r="F119" s="391"/>
      <c r="G119" s="391"/>
      <c r="H119" s="392"/>
      <c r="I119" s="391"/>
      <c r="J119" s="391"/>
      <c r="K119" s="392"/>
      <c r="L119" s="391"/>
      <c r="M119" s="391"/>
      <c r="N119" s="391"/>
    </row>
    <row r="120" spans="1:14" ht="16.55" hidden="1" customHeight="1" thickBot="1" x14ac:dyDescent="0.35">
      <c r="A120" s="378" t="str">
        <f t="shared" ca="1" si="1"/>
        <v/>
      </c>
      <c r="B120" s="395">
        <f>+LATrackerALL!A121</f>
        <v>42849</v>
      </c>
      <c r="C120" s="396">
        <f>+LATrackerALL!E121</f>
        <v>2</v>
      </c>
      <c r="D120" s="397">
        <f>+LATrackerALL!C121</f>
        <v>0</v>
      </c>
      <c r="E120" s="398">
        <f>+LATrackerALL!D121</f>
        <v>0.66666666666666663</v>
      </c>
      <c r="F120" s="391"/>
      <c r="G120" s="391"/>
      <c r="H120" s="392"/>
      <c r="I120" s="391"/>
      <c r="J120" s="391"/>
      <c r="K120" s="392"/>
      <c r="L120" s="391"/>
      <c r="M120" s="391"/>
      <c r="N120" s="391"/>
    </row>
    <row r="121" spans="1:14" ht="16.55" hidden="1" customHeight="1" thickBot="1" x14ac:dyDescent="0.35">
      <c r="A121" s="378" t="str">
        <f t="shared" ca="1" si="1"/>
        <v/>
      </c>
      <c r="B121" s="395">
        <f>+LATrackerALL!A122</f>
        <v>42850</v>
      </c>
      <c r="C121" s="396">
        <f>+LATrackerALL!E122</f>
        <v>2</v>
      </c>
      <c r="D121" s="397">
        <f>+LATrackerALL!C122</f>
        <v>0</v>
      </c>
      <c r="E121" s="398">
        <f>+LATrackerALL!D122</f>
        <v>0.66666666666666663</v>
      </c>
      <c r="F121" s="391"/>
      <c r="G121" s="391"/>
      <c r="H121" s="392"/>
      <c r="I121" s="391"/>
      <c r="J121" s="391"/>
      <c r="K121" s="392"/>
      <c r="L121" s="391"/>
      <c r="M121" s="391"/>
      <c r="N121" s="391"/>
    </row>
    <row r="122" spans="1:14" ht="16.55" hidden="1" customHeight="1" thickBot="1" x14ac:dyDescent="0.35">
      <c r="A122" s="378" t="str">
        <f t="shared" ca="1" si="1"/>
        <v/>
      </c>
      <c r="B122" s="395">
        <f>+LATrackerALL!A123</f>
        <v>42851</v>
      </c>
      <c r="C122" s="396">
        <f>+LATrackerALL!E123</f>
        <v>2</v>
      </c>
      <c r="D122" s="397">
        <f>+LATrackerALL!C123</f>
        <v>0</v>
      </c>
      <c r="E122" s="398">
        <f>+LATrackerALL!D123</f>
        <v>0.66666666666666663</v>
      </c>
      <c r="F122" s="391"/>
      <c r="G122" s="391"/>
      <c r="H122" s="392"/>
      <c r="I122" s="391"/>
      <c r="J122" s="391"/>
      <c r="K122" s="392"/>
      <c r="L122" s="391"/>
      <c r="M122" s="391"/>
      <c r="N122" s="391"/>
    </row>
    <row r="123" spans="1:14" ht="16.55" hidden="1" customHeight="1" thickBot="1" x14ac:dyDescent="0.35">
      <c r="A123" s="378" t="str">
        <f t="shared" ca="1" si="1"/>
        <v/>
      </c>
      <c r="B123" s="395">
        <f>+LATrackerALL!A124</f>
        <v>42852</v>
      </c>
      <c r="C123" s="396">
        <f>+LATrackerALL!E124</f>
        <v>2</v>
      </c>
      <c r="D123" s="397">
        <f>+LATrackerALL!C124</f>
        <v>0</v>
      </c>
      <c r="E123" s="398">
        <f>+LATrackerALL!D124</f>
        <v>0.66666666666666663</v>
      </c>
      <c r="F123" s="391"/>
      <c r="G123" s="391"/>
      <c r="H123" s="392"/>
      <c r="I123" s="391"/>
      <c r="J123" s="391"/>
      <c r="K123" s="392"/>
      <c r="L123" s="391"/>
      <c r="M123" s="391"/>
      <c r="N123" s="391"/>
    </row>
    <row r="124" spans="1:14" ht="16.55" hidden="1" customHeight="1" thickBot="1" x14ac:dyDescent="0.35">
      <c r="A124" s="378" t="str">
        <f t="shared" ca="1" si="1"/>
        <v/>
      </c>
      <c r="B124" s="395">
        <f>+LATrackerALL!A125</f>
        <v>42853</v>
      </c>
      <c r="C124" s="396">
        <f>+LATrackerALL!E125</f>
        <v>2</v>
      </c>
      <c r="D124" s="397">
        <f>+LATrackerALL!C125</f>
        <v>0</v>
      </c>
      <c r="E124" s="398">
        <f>+LATrackerALL!D125</f>
        <v>0.66666666666666663</v>
      </c>
      <c r="F124" s="391"/>
      <c r="G124" s="391"/>
      <c r="H124" s="392"/>
      <c r="I124" s="391"/>
      <c r="J124" s="391"/>
      <c r="K124" s="392"/>
      <c r="L124" s="391"/>
      <c r="M124" s="391"/>
      <c r="N124" s="391"/>
    </row>
    <row r="125" spans="1:14" ht="16.55" hidden="1" customHeight="1" thickBot="1" x14ac:dyDescent="0.35">
      <c r="A125" s="378" t="str">
        <f t="shared" ca="1" si="1"/>
        <v/>
      </c>
      <c r="B125" s="395">
        <f>+LATrackerALL!A126</f>
        <v>42854</v>
      </c>
      <c r="C125" s="396">
        <f>+LATrackerALL!E126</f>
        <v>2</v>
      </c>
      <c r="D125" s="397">
        <f>+LATrackerALL!C126</f>
        <v>0</v>
      </c>
      <c r="E125" s="398">
        <f>+LATrackerALL!D126</f>
        <v>0.66666666666666663</v>
      </c>
      <c r="F125" s="391"/>
      <c r="G125" s="391"/>
      <c r="H125" s="392"/>
      <c r="I125" s="391"/>
      <c r="J125" s="391"/>
      <c r="K125" s="392"/>
      <c r="L125" s="391"/>
      <c r="M125" s="391"/>
      <c r="N125" s="391"/>
    </row>
    <row r="126" spans="1:14" ht="16.55" hidden="1" customHeight="1" thickBot="1" x14ac:dyDescent="0.35">
      <c r="A126" s="378" t="str">
        <f t="shared" ca="1" si="1"/>
        <v/>
      </c>
      <c r="B126" s="395">
        <f>+LATrackerALL!A127</f>
        <v>42855</v>
      </c>
      <c r="C126" s="396">
        <f>+LATrackerALL!E127</f>
        <v>2</v>
      </c>
      <c r="D126" s="397">
        <f>+LATrackerALL!C127</f>
        <v>0</v>
      </c>
      <c r="E126" s="398">
        <f>+LATrackerALL!D127</f>
        <v>0.66666666666666663</v>
      </c>
      <c r="F126" s="391"/>
      <c r="G126" s="391"/>
      <c r="H126" s="392"/>
      <c r="I126" s="391"/>
      <c r="J126" s="391"/>
      <c r="K126" s="392"/>
      <c r="L126" s="391"/>
      <c r="M126" s="391"/>
      <c r="N126" s="391"/>
    </row>
    <row r="127" spans="1:14" ht="16.55" hidden="1" customHeight="1" thickBot="1" x14ac:dyDescent="0.35">
      <c r="A127" s="378" t="str">
        <f t="shared" ca="1" si="1"/>
        <v/>
      </c>
      <c r="B127" s="395">
        <f>+LATrackerALL!A128</f>
        <v>42856</v>
      </c>
      <c r="C127" s="396">
        <f>+LATrackerALL!E128</f>
        <v>2</v>
      </c>
      <c r="D127" s="397">
        <f>+LATrackerALL!C128</f>
        <v>0</v>
      </c>
      <c r="E127" s="398">
        <f>+LATrackerALL!D128</f>
        <v>0.66666666666666663</v>
      </c>
      <c r="F127" s="391"/>
      <c r="G127" s="391"/>
      <c r="H127" s="392"/>
      <c r="I127" s="391"/>
      <c r="J127" s="391"/>
      <c r="K127" s="392"/>
      <c r="L127" s="391"/>
      <c r="M127" s="391"/>
      <c r="N127" s="391"/>
    </row>
    <row r="128" spans="1:14" ht="16.55" hidden="1" customHeight="1" thickBot="1" x14ac:dyDescent="0.35">
      <c r="A128" s="378" t="str">
        <f t="shared" ca="1" si="1"/>
        <v/>
      </c>
      <c r="B128" s="395">
        <f>+LATrackerALL!A129</f>
        <v>42857</v>
      </c>
      <c r="C128" s="396">
        <f>+LATrackerALL!E129</f>
        <v>2</v>
      </c>
      <c r="D128" s="397">
        <f>+LATrackerALL!C129</f>
        <v>0</v>
      </c>
      <c r="E128" s="398">
        <f>+LATrackerALL!D129</f>
        <v>0.66666666666666663</v>
      </c>
      <c r="F128" s="391"/>
      <c r="G128" s="391"/>
      <c r="H128" s="392"/>
      <c r="I128" s="391"/>
      <c r="J128" s="391"/>
      <c r="K128" s="392"/>
      <c r="L128" s="391"/>
      <c r="M128" s="391"/>
      <c r="N128" s="391"/>
    </row>
    <row r="129" spans="1:14" ht="16.55" hidden="1" customHeight="1" thickBot="1" x14ac:dyDescent="0.35">
      <c r="A129" s="378" t="str">
        <f t="shared" ca="1" si="1"/>
        <v/>
      </c>
      <c r="B129" s="395">
        <f>+LATrackerALL!A130</f>
        <v>42858</v>
      </c>
      <c r="C129" s="396">
        <f>+LATrackerALL!E130</f>
        <v>2</v>
      </c>
      <c r="D129" s="397">
        <f>+LATrackerALL!C130</f>
        <v>0</v>
      </c>
      <c r="E129" s="398">
        <f>+LATrackerALL!D130</f>
        <v>0.66666666666666663</v>
      </c>
      <c r="F129" s="391"/>
      <c r="G129" s="391"/>
      <c r="H129" s="392"/>
      <c r="I129" s="391"/>
      <c r="J129" s="391"/>
      <c r="K129" s="392"/>
      <c r="L129" s="391"/>
      <c r="M129" s="391"/>
      <c r="N129" s="391"/>
    </row>
    <row r="130" spans="1:14" ht="16.55" hidden="1" customHeight="1" thickBot="1" x14ac:dyDescent="0.35">
      <c r="A130" s="378" t="str">
        <f t="shared" ca="1" si="1"/>
        <v/>
      </c>
      <c r="B130" s="395">
        <f>+LATrackerALL!A131</f>
        <v>42859</v>
      </c>
      <c r="C130" s="396">
        <f>+LATrackerALL!E131</f>
        <v>2</v>
      </c>
      <c r="D130" s="397">
        <f>+LATrackerALL!C131</f>
        <v>0</v>
      </c>
      <c r="E130" s="398">
        <f>+LATrackerALL!D131</f>
        <v>0.66666666666666663</v>
      </c>
      <c r="F130" s="391"/>
      <c r="G130" s="391"/>
      <c r="H130" s="392"/>
      <c r="I130" s="391"/>
      <c r="J130" s="391"/>
      <c r="K130" s="392"/>
      <c r="L130" s="391"/>
      <c r="M130" s="391"/>
      <c r="N130" s="391"/>
    </row>
    <row r="131" spans="1:14" ht="16.55" hidden="1" customHeight="1" thickBot="1" x14ac:dyDescent="0.35">
      <c r="A131" s="378" t="str">
        <f t="shared" ca="1" si="1"/>
        <v/>
      </c>
      <c r="B131" s="395">
        <f>+LATrackerALL!A132</f>
        <v>42860</v>
      </c>
      <c r="C131" s="396">
        <f>+LATrackerALL!E132</f>
        <v>2</v>
      </c>
      <c r="D131" s="397">
        <f>+LATrackerALL!C132</f>
        <v>0</v>
      </c>
      <c r="E131" s="398">
        <f>+LATrackerALL!D132</f>
        <v>0.66666666666666663</v>
      </c>
      <c r="F131" s="391"/>
      <c r="G131" s="391"/>
      <c r="H131" s="392"/>
      <c r="I131" s="391"/>
      <c r="J131" s="391"/>
      <c r="K131" s="392"/>
      <c r="L131" s="391"/>
      <c r="M131" s="391"/>
      <c r="N131" s="391"/>
    </row>
    <row r="132" spans="1:14" ht="16.55" hidden="1" customHeight="1" thickBot="1" x14ac:dyDescent="0.35">
      <c r="A132" s="378" t="str">
        <f t="shared" ca="1" si="1"/>
        <v/>
      </c>
      <c r="B132" s="395">
        <f>+LATrackerALL!A133</f>
        <v>42861</v>
      </c>
      <c r="C132" s="396">
        <f>+LATrackerALL!E133</f>
        <v>2</v>
      </c>
      <c r="D132" s="397">
        <f>+LATrackerALL!C133</f>
        <v>0</v>
      </c>
      <c r="E132" s="398">
        <f>+LATrackerALL!D133</f>
        <v>0.66666666666666663</v>
      </c>
      <c r="F132" s="391"/>
      <c r="G132" s="391"/>
      <c r="H132" s="392"/>
      <c r="I132" s="391"/>
      <c r="J132" s="391"/>
      <c r="K132" s="392"/>
      <c r="L132" s="391"/>
      <c r="M132" s="391"/>
      <c r="N132" s="391"/>
    </row>
    <row r="133" spans="1:14" ht="16.55" hidden="1" customHeight="1" thickBot="1" x14ac:dyDescent="0.35">
      <c r="A133" s="378" t="str">
        <f t="shared" ca="1" si="1"/>
        <v/>
      </c>
      <c r="B133" s="395">
        <f>+LATrackerALL!A134</f>
        <v>42862</v>
      </c>
      <c r="C133" s="396">
        <f>+LATrackerALL!E134</f>
        <v>2</v>
      </c>
      <c r="D133" s="397">
        <f>+LATrackerALL!C134</f>
        <v>0</v>
      </c>
      <c r="E133" s="398">
        <f>+LATrackerALL!D134</f>
        <v>0.66666666666666663</v>
      </c>
      <c r="F133" s="391"/>
      <c r="G133" s="391"/>
      <c r="H133" s="392"/>
      <c r="I133" s="391"/>
      <c r="J133" s="391"/>
      <c r="K133" s="392"/>
      <c r="L133" s="391"/>
      <c r="M133" s="391"/>
      <c r="N133" s="391"/>
    </row>
    <row r="134" spans="1:14" ht="16.55" hidden="1" customHeight="1" thickBot="1" x14ac:dyDescent="0.35">
      <c r="A134" s="378" t="str">
        <f t="shared" ca="1" si="1"/>
        <v/>
      </c>
      <c r="B134" s="395">
        <f>+LATrackerALL!A135</f>
        <v>42863</v>
      </c>
      <c r="C134" s="396">
        <f>+LATrackerALL!E135</f>
        <v>2</v>
      </c>
      <c r="D134" s="397">
        <f>+LATrackerALL!C135</f>
        <v>0</v>
      </c>
      <c r="E134" s="398">
        <f>+LATrackerALL!D135</f>
        <v>0.66666666666666663</v>
      </c>
      <c r="F134" s="391"/>
      <c r="G134" s="391"/>
      <c r="H134" s="392"/>
      <c r="I134" s="391"/>
      <c r="J134" s="391"/>
      <c r="K134" s="392"/>
      <c r="L134" s="391"/>
      <c r="M134" s="391"/>
      <c r="N134" s="391"/>
    </row>
    <row r="135" spans="1:14" ht="16.55" hidden="1" customHeight="1" thickBot="1" x14ac:dyDescent="0.35">
      <c r="A135" s="378" t="str">
        <f t="shared" ca="1" si="1"/>
        <v/>
      </c>
      <c r="B135" s="395">
        <f>+LATrackerALL!A136</f>
        <v>42864</v>
      </c>
      <c r="C135" s="396">
        <f>+LATrackerALL!E136</f>
        <v>2</v>
      </c>
      <c r="D135" s="397">
        <f>+LATrackerALL!C136</f>
        <v>0</v>
      </c>
      <c r="E135" s="398">
        <f>+LATrackerALL!D136</f>
        <v>0.66666666666666663</v>
      </c>
      <c r="F135" s="391"/>
      <c r="G135" s="391"/>
      <c r="H135" s="392"/>
      <c r="I135" s="391"/>
      <c r="J135" s="391"/>
      <c r="K135" s="392"/>
      <c r="L135" s="391"/>
      <c r="M135" s="391"/>
      <c r="N135" s="391"/>
    </row>
    <row r="136" spans="1:14" ht="16.55" hidden="1" customHeight="1" thickBot="1" x14ac:dyDescent="0.35">
      <c r="A136" s="378" t="str">
        <f t="shared" ca="1" si="1"/>
        <v/>
      </c>
      <c r="B136" s="395">
        <f>+LATrackerALL!A137</f>
        <v>42865</v>
      </c>
      <c r="C136" s="396">
        <f>+LATrackerALL!E137</f>
        <v>2</v>
      </c>
      <c r="D136" s="397">
        <f>+LATrackerALL!C137</f>
        <v>0</v>
      </c>
      <c r="E136" s="398">
        <f>+LATrackerALL!D137</f>
        <v>0.66666666666666663</v>
      </c>
      <c r="F136" s="391"/>
      <c r="G136" s="391"/>
      <c r="H136" s="392"/>
      <c r="I136" s="391"/>
      <c r="J136" s="391"/>
      <c r="K136" s="392"/>
      <c r="L136" s="391"/>
      <c r="M136" s="391"/>
      <c r="N136" s="391"/>
    </row>
    <row r="137" spans="1:14" ht="16.55" hidden="1" customHeight="1" thickBot="1" x14ac:dyDescent="0.35">
      <c r="A137" s="378" t="str">
        <f t="shared" ref="A137:A200" ca="1" si="2">IF(TODAY()&gt;=B137,"==&gt;","")</f>
        <v/>
      </c>
      <c r="B137" s="395">
        <f>+LATrackerALL!A138</f>
        <v>42866</v>
      </c>
      <c r="C137" s="396">
        <f>+LATrackerALL!E138</f>
        <v>2</v>
      </c>
      <c r="D137" s="397">
        <f>+LATrackerALL!C138</f>
        <v>0</v>
      </c>
      <c r="E137" s="398">
        <f>+LATrackerALL!D138</f>
        <v>0.66666666666666663</v>
      </c>
      <c r="F137" s="391"/>
      <c r="G137" s="391"/>
      <c r="H137" s="392"/>
      <c r="I137" s="391"/>
      <c r="J137" s="391"/>
      <c r="K137" s="392"/>
      <c r="L137" s="391"/>
      <c r="M137" s="391"/>
      <c r="N137" s="391"/>
    </row>
    <row r="138" spans="1:14" ht="16.55" hidden="1" customHeight="1" thickBot="1" x14ac:dyDescent="0.35">
      <c r="A138" s="378" t="str">
        <f t="shared" ca="1" si="2"/>
        <v/>
      </c>
      <c r="B138" s="395">
        <f>+LATrackerALL!A139</f>
        <v>42867</v>
      </c>
      <c r="C138" s="396">
        <f>+LATrackerALL!E139</f>
        <v>2</v>
      </c>
      <c r="D138" s="397">
        <f>+LATrackerALL!C139</f>
        <v>0</v>
      </c>
      <c r="E138" s="398">
        <f>+LATrackerALL!D139</f>
        <v>0.66666666666666663</v>
      </c>
      <c r="F138" s="391"/>
      <c r="G138" s="391"/>
      <c r="H138" s="392"/>
      <c r="I138" s="391"/>
      <c r="J138" s="391"/>
      <c r="K138" s="392"/>
      <c r="L138" s="391"/>
      <c r="M138" s="391"/>
      <c r="N138" s="391"/>
    </row>
    <row r="139" spans="1:14" ht="16.55" hidden="1" customHeight="1" thickBot="1" x14ac:dyDescent="0.35">
      <c r="A139" s="378" t="str">
        <f t="shared" ca="1" si="2"/>
        <v/>
      </c>
      <c r="B139" s="395">
        <f>+LATrackerALL!A140</f>
        <v>42868</v>
      </c>
      <c r="C139" s="396">
        <f>+LATrackerALL!E140</f>
        <v>2</v>
      </c>
      <c r="D139" s="397">
        <f>+LATrackerALL!C140</f>
        <v>0</v>
      </c>
      <c r="E139" s="398">
        <f>+LATrackerALL!D140</f>
        <v>0.66666666666666663</v>
      </c>
      <c r="F139" s="391"/>
      <c r="G139" s="391"/>
      <c r="H139" s="392"/>
      <c r="I139" s="391"/>
      <c r="J139" s="391"/>
      <c r="K139" s="392"/>
      <c r="L139" s="391"/>
      <c r="M139" s="391"/>
      <c r="N139" s="391"/>
    </row>
    <row r="140" spans="1:14" ht="16.55" hidden="1" customHeight="1" thickBot="1" x14ac:dyDescent="0.35">
      <c r="A140" s="378" t="str">
        <f t="shared" ca="1" si="2"/>
        <v/>
      </c>
      <c r="B140" s="395">
        <f>+LATrackerALL!A141</f>
        <v>42869</v>
      </c>
      <c r="C140" s="396">
        <f>+LATrackerALL!E141</f>
        <v>2</v>
      </c>
      <c r="D140" s="397">
        <f>+LATrackerALL!C141</f>
        <v>0</v>
      </c>
      <c r="E140" s="398">
        <f>+LATrackerALL!D141</f>
        <v>0.66666666666666663</v>
      </c>
      <c r="F140" s="391"/>
      <c r="G140" s="391"/>
      <c r="H140" s="392"/>
      <c r="I140" s="391"/>
      <c r="J140" s="391"/>
      <c r="K140" s="392"/>
      <c r="L140" s="391"/>
      <c r="M140" s="391"/>
      <c r="N140" s="391"/>
    </row>
    <row r="141" spans="1:14" ht="16.55" hidden="1" customHeight="1" thickBot="1" x14ac:dyDescent="0.35">
      <c r="A141" s="378" t="str">
        <f t="shared" ca="1" si="2"/>
        <v/>
      </c>
      <c r="B141" s="395">
        <f>+LATrackerALL!A142</f>
        <v>42870</v>
      </c>
      <c r="C141" s="396">
        <f>+LATrackerALL!E142</f>
        <v>2</v>
      </c>
      <c r="D141" s="397">
        <f>+LATrackerALL!C142</f>
        <v>0</v>
      </c>
      <c r="E141" s="398">
        <f>+LATrackerALL!D142</f>
        <v>0.66666666666666663</v>
      </c>
      <c r="F141" s="391"/>
      <c r="G141" s="391"/>
      <c r="H141" s="392"/>
      <c r="I141" s="391"/>
      <c r="J141" s="391"/>
      <c r="K141" s="392"/>
      <c r="L141" s="391"/>
      <c r="M141" s="391"/>
      <c r="N141" s="391"/>
    </row>
    <row r="142" spans="1:14" ht="16.55" hidden="1" customHeight="1" thickBot="1" x14ac:dyDescent="0.35">
      <c r="A142" s="378" t="str">
        <f t="shared" ca="1" si="2"/>
        <v/>
      </c>
      <c r="B142" s="395">
        <f>+LATrackerALL!A143</f>
        <v>42871</v>
      </c>
      <c r="C142" s="396">
        <f>+LATrackerALL!E143</f>
        <v>2</v>
      </c>
      <c r="D142" s="397">
        <f>+LATrackerALL!C143</f>
        <v>0</v>
      </c>
      <c r="E142" s="398">
        <f>+LATrackerALL!D143</f>
        <v>0.66666666666666663</v>
      </c>
      <c r="F142" s="391"/>
      <c r="G142" s="391"/>
      <c r="H142" s="392"/>
      <c r="I142" s="391"/>
      <c r="J142" s="391"/>
      <c r="K142" s="392"/>
      <c r="L142" s="391"/>
      <c r="M142" s="391"/>
      <c r="N142" s="391"/>
    </row>
    <row r="143" spans="1:14" ht="16.55" hidden="1" customHeight="1" thickBot="1" x14ac:dyDescent="0.35">
      <c r="A143" s="378" t="str">
        <f t="shared" ca="1" si="2"/>
        <v/>
      </c>
      <c r="B143" s="395">
        <f>+LATrackerALL!A144</f>
        <v>42872</v>
      </c>
      <c r="C143" s="396">
        <f>+LATrackerALL!E144</f>
        <v>2</v>
      </c>
      <c r="D143" s="397">
        <f>+LATrackerALL!C144</f>
        <v>0</v>
      </c>
      <c r="E143" s="398">
        <f>+LATrackerALL!D144</f>
        <v>0.66666666666666663</v>
      </c>
      <c r="F143" s="391"/>
      <c r="G143" s="391"/>
      <c r="H143" s="392"/>
      <c r="I143" s="391"/>
      <c r="J143" s="391"/>
      <c r="K143" s="392"/>
      <c r="L143" s="391"/>
      <c r="M143" s="391"/>
      <c r="N143" s="391"/>
    </row>
    <row r="144" spans="1:14" ht="16.55" hidden="1" customHeight="1" thickBot="1" x14ac:dyDescent="0.35">
      <c r="A144" s="378" t="str">
        <f t="shared" ca="1" si="2"/>
        <v/>
      </c>
      <c r="B144" s="395">
        <f>+LATrackerALL!A145</f>
        <v>42873</v>
      </c>
      <c r="C144" s="396">
        <f>+LATrackerALL!E145</f>
        <v>2</v>
      </c>
      <c r="D144" s="397">
        <f>+LATrackerALL!C145</f>
        <v>0</v>
      </c>
      <c r="E144" s="398">
        <f>+LATrackerALL!D145</f>
        <v>0.66666666666666663</v>
      </c>
      <c r="F144" s="391"/>
      <c r="G144" s="391"/>
      <c r="H144" s="392"/>
      <c r="I144" s="391"/>
      <c r="J144" s="391"/>
      <c r="K144" s="392"/>
      <c r="L144" s="391"/>
      <c r="M144" s="391"/>
      <c r="N144" s="391"/>
    </row>
    <row r="145" spans="1:14" ht="16.55" hidden="1" customHeight="1" thickBot="1" x14ac:dyDescent="0.35">
      <c r="A145" s="378" t="str">
        <f t="shared" ca="1" si="2"/>
        <v/>
      </c>
      <c r="B145" s="395">
        <f>+LATrackerALL!A146</f>
        <v>42874</v>
      </c>
      <c r="C145" s="396">
        <f>+LATrackerALL!E146</f>
        <v>2</v>
      </c>
      <c r="D145" s="397">
        <f>+LATrackerALL!C146</f>
        <v>0</v>
      </c>
      <c r="E145" s="398">
        <f>+LATrackerALL!D146</f>
        <v>0.66666666666666663</v>
      </c>
      <c r="F145" s="391"/>
      <c r="G145" s="391"/>
      <c r="H145" s="392"/>
      <c r="I145" s="391"/>
      <c r="J145" s="391"/>
      <c r="K145" s="392"/>
      <c r="L145" s="391"/>
      <c r="M145" s="391"/>
      <c r="N145" s="391"/>
    </row>
    <row r="146" spans="1:14" ht="16.55" hidden="1" customHeight="1" thickBot="1" x14ac:dyDescent="0.35">
      <c r="A146" s="378" t="str">
        <f t="shared" ca="1" si="2"/>
        <v/>
      </c>
      <c r="B146" s="395">
        <f>+LATrackerALL!A147</f>
        <v>42875</v>
      </c>
      <c r="C146" s="396">
        <f>+LATrackerALL!E147</f>
        <v>2</v>
      </c>
      <c r="D146" s="397">
        <f>+LATrackerALL!C147</f>
        <v>0</v>
      </c>
      <c r="E146" s="398">
        <f>+LATrackerALL!D147</f>
        <v>0.66666666666666663</v>
      </c>
      <c r="F146" s="391"/>
      <c r="G146" s="391"/>
      <c r="H146" s="392"/>
      <c r="I146" s="391"/>
      <c r="J146" s="391"/>
      <c r="K146" s="392"/>
      <c r="L146" s="391"/>
      <c r="M146" s="391"/>
      <c r="N146" s="391"/>
    </row>
    <row r="147" spans="1:14" ht="16.55" hidden="1" customHeight="1" thickBot="1" x14ac:dyDescent="0.35">
      <c r="A147" s="378" t="str">
        <f t="shared" ca="1" si="2"/>
        <v/>
      </c>
      <c r="B147" s="395">
        <f>+LATrackerALL!A148</f>
        <v>42876</v>
      </c>
      <c r="C147" s="396">
        <f>+LATrackerALL!E148</f>
        <v>2</v>
      </c>
      <c r="D147" s="397">
        <f>+LATrackerALL!C148</f>
        <v>0</v>
      </c>
      <c r="E147" s="398">
        <f>+LATrackerALL!D148</f>
        <v>0.66666666666666663</v>
      </c>
      <c r="F147" s="391"/>
      <c r="G147" s="391"/>
      <c r="H147" s="392"/>
      <c r="I147" s="391"/>
      <c r="J147" s="391"/>
      <c r="K147" s="392"/>
      <c r="L147" s="391"/>
      <c r="M147" s="391"/>
      <c r="N147" s="391"/>
    </row>
    <row r="148" spans="1:14" ht="16.55" hidden="1" customHeight="1" thickBot="1" x14ac:dyDescent="0.35">
      <c r="A148" s="378" t="str">
        <f t="shared" ca="1" si="2"/>
        <v/>
      </c>
      <c r="B148" s="395">
        <f>+LATrackerALL!A149</f>
        <v>42877</v>
      </c>
      <c r="C148" s="396">
        <f>+LATrackerALL!E149</f>
        <v>2</v>
      </c>
      <c r="D148" s="397">
        <f>+LATrackerALL!C149</f>
        <v>0</v>
      </c>
      <c r="E148" s="398">
        <f>+LATrackerALL!D149</f>
        <v>0.66666666666666663</v>
      </c>
      <c r="F148" s="391"/>
      <c r="G148" s="391"/>
      <c r="H148" s="392"/>
      <c r="I148" s="391"/>
      <c r="J148" s="391"/>
      <c r="K148" s="392"/>
      <c r="L148" s="391"/>
      <c r="M148" s="391"/>
      <c r="N148" s="391"/>
    </row>
    <row r="149" spans="1:14" ht="16.55" customHeight="1" thickBot="1" x14ac:dyDescent="0.35">
      <c r="A149" s="378" t="str">
        <f t="shared" ca="1" si="2"/>
        <v/>
      </c>
      <c r="B149" s="395">
        <f>+LATrackerALL!A150</f>
        <v>42878</v>
      </c>
      <c r="C149" s="396">
        <f>+LATrackerALL!E150</f>
        <v>2</v>
      </c>
      <c r="D149" s="397">
        <f>+LATrackerALL!C150</f>
        <v>0</v>
      </c>
      <c r="E149" s="398">
        <f>+LATrackerALL!D150</f>
        <v>0.66666666666666663</v>
      </c>
      <c r="F149" s="391"/>
      <c r="G149" s="391"/>
      <c r="H149" s="392"/>
      <c r="I149" s="391"/>
      <c r="J149" s="391"/>
      <c r="K149" s="392"/>
      <c r="L149" s="391"/>
      <c r="M149" s="391"/>
      <c r="N149" s="391"/>
    </row>
    <row r="150" spans="1:14" ht="16.55" hidden="1" customHeight="1" thickBot="1" x14ac:dyDescent="0.35">
      <c r="A150" s="378" t="str">
        <f t="shared" ca="1" si="2"/>
        <v/>
      </c>
      <c r="B150" s="395">
        <f>+LATrackerALL!A151</f>
        <v>42879</v>
      </c>
      <c r="C150" s="396">
        <f>+LATrackerALL!E151</f>
        <v>2</v>
      </c>
      <c r="D150" s="397">
        <f>+LATrackerALL!C151</f>
        <v>0</v>
      </c>
      <c r="E150" s="398">
        <f>+LATrackerALL!D151</f>
        <v>0.66666666666666663</v>
      </c>
      <c r="F150" s="391"/>
      <c r="G150" s="391"/>
      <c r="H150" s="392"/>
      <c r="I150" s="391"/>
      <c r="J150" s="391"/>
      <c r="K150" s="392"/>
      <c r="L150" s="391"/>
      <c r="M150" s="391"/>
      <c r="N150" s="391"/>
    </row>
    <row r="151" spans="1:14" ht="16.55" hidden="1" customHeight="1" thickBot="1" x14ac:dyDescent="0.35">
      <c r="A151" s="378" t="str">
        <f t="shared" ca="1" si="2"/>
        <v/>
      </c>
      <c r="B151" s="395">
        <f>+LATrackerALL!A152</f>
        <v>42880</v>
      </c>
      <c r="C151" s="396">
        <f>+LATrackerALL!E152</f>
        <v>2</v>
      </c>
      <c r="D151" s="397">
        <f>+LATrackerALL!C152</f>
        <v>0</v>
      </c>
      <c r="E151" s="398">
        <f>+LATrackerALL!D152</f>
        <v>0.66666666666666663</v>
      </c>
      <c r="F151" s="391"/>
      <c r="G151" s="391"/>
      <c r="H151" s="392"/>
      <c r="I151" s="391"/>
      <c r="J151" s="391"/>
      <c r="K151" s="392"/>
      <c r="L151" s="391"/>
      <c r="M151" s="391"/>
      <c r="N151" s="391"/>
    </row>
    <row r="152" spans="1:14" ht="16.55" hidden="1" customHeight="1" thickBot="1" x14ac:dyDescent="0.35">
      <c r="A152" s="378" t="str">
        <f t="shared" ca="1" si="2"/>
        <v/>
      </c>
      <c r="B152" s="395">
        <f>+LATrackerALL!A153</f>
        <v>42881</v>
      </c>
      <c r="C152" s="396">
        <f>+LATrackerALL!E153</f>
        <v>2</v>
      </c>
      <c r="D152" s="397">
        <f>+LATrackerALL!C153</f>
        <v>0</v>
      </c>
      <c r="E152" s="398">
        <f>+LATrackerALL!D153</f>
        <v>0.66666666666666663</v>
      </c>
      <c r="F152" s="391"/>
      <c r="G152" s="391"/>
      <c r="H152" s="392"/>
      <c r="I152" s="391"/>
      <c r="J152" s="391"/>
      <c r="K152" s="392"/>
      <c r="L152" s="391"/>
      <c r="M152" s="391"/>
      <c r="N152" s="391"/>
    </row>
    <row r="153" spans="1:14" ht="16.55" hidden="1" customHeight="1" thickBot="1" x14ac:dyDescent="0.35">
      <c r="A153" s="378" t="str">
        <f t="shared" ca="1" si="2"/>
        <v/>
      </c>
      <c r="B153" s="395">
        <f>+LATrackerALL!A154</f>
        <v>42882</v>
      </c>
      <c r="C153" s="396">
        <f>+LATrackerALL!E154</f>
        <v>2</v>
      </c>
      <c r="D153" s="397">
        <f>+LATrackerALL!C154</f>
        <v>0</v>
      </c>
      <c r="E153" s="398">
        <f>+LATrackerALL!D154</f>
        <v>0.66666666666666663</v>
      </c>
      <c r="F153" s="391"/>
      <c r="G153" s="391"/>
      <c r="H153" s="392"/>
      <c r="I153" s="391"/>
      <c r="J153" s="391"/>
      <c r="K153" s="392"/>
      <c r="L153" s="391"/>
      <c r="M153" s="391"/>
      <c r="N153" s="391"/>
    </row>
    <row r="154" spans="1:14" ht="16.55" hidden="1" customHeight="1" thickBot="1" x14ac:dyDescent="0.35">
      <c r="A154" s="378" t="str">
        <f t="shared" ca="1" si="2"/>
        <v/>
      </c>
      <c r="B154" s="395">
        <f>+LATrackerALL!A155</f>
        <v>42883</v>
      </c>
      <c r="C154" s="396">
        <f>+LATrackerALL!E155</f>
        <v>2</v>
      </c>
      <c r="D154" s="397">
        <f>+LATrackerALL!C155</f>
        <v>0</v>
      </c>
      <c r="E154" s="398">
        <f>+LATrackerALL!D155</f>
        <v>0.66666666666666663</v>
      </c>
      <c r="F154" s="391"/>
      <c r="G154" s="391"/>
      <c r="H154" s="392"/>
      <c r="I154" s="391"/>
      <c r="J154" s="391"/>
      <c r="K154" s="392"/>
      <c r="L154" s="391"/>
      <c r="M154" s="391"/>
      <c r="N154" s="391"/>
    </row>
    <row r="155" spans="1:14" ht="16.55" hidden="1" customHeight="1" thickBot="1" x14ac:dyDescent="0.35">
      <c r="A155" s="378" t="str">
        <f t="shared" ca="1" si="2"/>
        <v/>
      </c>
      <c r="B155" s="395">
        <f>+LATrackerALL!A156</f>
        <v>42884</v>
      </c>
      <c r="C155" s="396">
        <f>+LATrackerALL!E156</f>
        <v>2</v>
      </c>
      <c r="D155" s="397">
        <f>+LATrackerALL!C156</f>
        <v>0</v>
      </c>
      <c r="E155" s="398">
        <f>+LATrackerALL!D156</f>
        <v>0.66666666666666663</v>
      </c>
      <c r="F155" s="391"/>
      <c r="G155" s="391"/>
      <c r="H155" s="392"/>
      <c r="I155" s="391"/>
      <c r="J155" s="391"/>
      <c r="K155" s="392"/>
      <c r="L155" s="391"/>
      <c r="M155" s="391"/>
      <c r="N155" s="391"/>
    </row>
    <row r="156" spans="1:14" ht="16.55" hidden="1" customHeight="1" thickBot="1" x14ac:dyDescent="0.35">
      <c r="A156" s="378" t="str">
        <f t="shared" ca="1" si="2"/>
        <v/>
      </c>
      <c r="B156" s="395">
        <f>+LATrackerALL!A157</f>
        <v>42885</v>
      </c>
      <c r="C156" s="396">
        <f>+LATrackerALL!E157</f>
        <v>3</v>
      </c>
      <c r="D156" s="397">
        <f>+LATrackerALL!C157</f>
        <v>0.33333333333333331</v>
      </c>
      <c r="E156" s="398">
        <f>+LATrackerALL!D157</f>
        <v>1</v>
      </c>
      <c r="F156" s="391"/>
      <c r="G156" s="391"/>
      <c r="H156" s="392"/>
      <c r="I156" s="391"/>
      <c r="J156" s="391"/>
      <c r="K156" s="392"/>
      <c r="L156" s="391"/>
      <c r="M156" s="391"/>
      <c r="N156" s="391"/>
    </row>
    <row r="157" spans="1:14" ht="16.55" hidden="1" customHeight="1" thickBot="1" x14ac:dyDescent="0.35">
      <c r="A157" s="378" t="str">
        <f t="shared" ca="1" si="2"/>
        <v/>
      </c>
      <c r="B157" s="395">
        <f>+LATrackerALL!A158</f>
        <v>42886</v>
      </c>
      <c r="C157" s="396">
        <f>+LATrackerALL!E158</f>
        <v>3</v>
      </c>
      <c r="D157" s="397">
        <f>+LATrackerALL!C158</f>
        <v>0</v>
      </c>
      <c r="E157" s="398">
        <f>+LATrackerALL!D158</f>
        <v>1</v>
      </c>
      <c r="F157" s="391"/>
      <c r="G157" s="391"/>
      <c r="H157" s="392"/>
      <c r="I157" s="391"/>
      <c r="J157" s="391"/>
      <c r="K157" s="392"/>
      <c r="L157" s="391"/>
      <c r="M157" s="391"/>
      <c r="N157" s="391"/>
    </row>
    <row r="158" spans="1:14" ht="16.55" hidden="1" customHeight="1" thickBot="1" x14ac:dyDescent="0.35">
      <c r="A158" s="378" t="str">
        <f t="shared" ca="1" si="2"/>
        <v/>
      </c>
      <c r="B158" s="395">
        <f>+LATrackerALL!A159</f>
        <v>42887</v>
      </c>
      <c r="C158" s="396">
        <f>+LATrackerALL!E159</f>
        <v>3</v>
      </c>
      <c r="D158" s="397">
        <f>+LATrackerALL!C159</f>
        <v>0</v>
      </c>
      <c r="E158" s="398">
        <f>+LATrackerALL!D159</f>
        <v>1</v>
      </c>
      <c r="F158" s="391"/>
      <c r="G158" s="391"/>
      <c r="H158" s="392"/>
      <c r="I158" s="391"/>
      <c r="J158" s="391"/>
      <c r="K158" s="392"/>
      <c r="L158" s="391"/>
      <c r="M158" s="391"/>
      <c r="N158" s="391"/>
    </row>
    <row r="159" spans="1:14" ht="16.55" hidden="1" customHeight="1" thickBot="1" x14ac:dyDescent="0.35">
      <c r="A159" s="378" t="str">
        <f t="shared" ca="1" si="2"/>
        <v/>
      </c>
      <c r="B159" s="395">
        <f>+LATrackerALL!A160</f>
        <v>42888</v>
      </c>
      <c r="C159" s="396">
        <f>+LATrackerALL!E160</f>
        <v>3</v>
      </c>
      <c r="D159" s="397">
        <f>+LATrackerALL!C160</f>
        <v>0</v>
      </c>
      <c r="E159" s="398">
        <f>+LATrackerALL!D160</f>
        <v>1</v>
      </c>
      <c r="F159" s="391"/>
      <c r="G159" s="391"/>
      <c r="H159" s="392"/>
      <c r="I159" s="391"/>
      <c r="J159" s="391"/>
      <c r="K159" s="392"/>
      <c r="L159" s="391"/>
      <c r="M159" s="391"/>
      <c r="N159" s="391"/>
    </row>
    <row r="160" spans="1:14" ht="16.55" hidden="1" customHeight="1" thickBot="1" x14ac:dyDescent="0.35">
      <c r="A160" s="378" t="str">
        <f t="shared" ca="1" si="2"/>
        <v/>
      </c>
      <c r="B160" s="395">
        <f>+LATrackerALL!A161</f>
        <v>42889</v>
      </c>
      <c r="C160" s="396">
        <f>+LATrackerALL!E161</f>
        <v>3</v>
      </c>
      <c r="D160" s="397">
        <f>+LATrackerALL!C161</f>
        <v>0</v>
      </c>
      <c r="E160" s="398">
        <f>+LATrackerALL!D161</f>
        <v>1</v>
      </c>
      <c r="F160" s="391"/>
      <c r="G160" s="391"/>
      <c r="H160" s="392"/>
      <c r="I160" s="391"/>
      <c r="J160" s="391"/>
      <c r="K160" s="392"/>
      <c r="L160" s="391"/>
      <c r="M160" s="391"/>
      <c r="N160" s="391"/>
    </row>
    <row r="161" spans="1:14" ht="16.55" hidden="1" customHeight="1" thickBot="1" x14ac:dyDescent="0.35">
      <c r="A161" s="378" t="str">
        <f t="shared" ca="1" si="2"/>
        <v/>
      </c>
      <c r="B161" s="395">
        <f>+LATrackerALL!A162</f>
        <v>42890</v>
      </c>
      <c r="C161" s="396">
        <f>+LATrackerALL!E162</f>
        <v>3</v>
      </c>
      <c r="D161" s="397">
        <f>+LATrackerALL!C162</f>
        <v>0</v>
      </c>
      <c r="E161" s="398">
        <f>+LATrackerALL!D162</f>
        <v>1</v>
      </c>
      <c r="F161" s="391"/>
      <c r="G161" s="391"/>
      <c r="H161" s="392"/>
      <c r="I161" s="391"/>
      <c r="J161" s="391"/>
      <c r="K161" s="392"/>
      <c r="L161" s="391"/>
      <c r="M161" s="391"/>
      <c r="N161" s="391"/>
    </row>
    <row r="162" spans="1:14" ht="16.55" hidden="1" customHeight="1" thickBot="1" x14ac:dyDescent="0.35">
      <c r="A162" s="378" t="str">
        <f t="shared" ca="1" si="2"/>
        <v/>
      </c>
      <c r="B162" s="395">
        <f>+LATrackerALL!A163</f>
        <v>42891</v>
      </c>
      <c r="C162" s="396">
        <f>+LATrackerALL!E163</f>
        <v>3</v>
      </c>
      <c r="D162" s="397">
        <f>+LATrackerALL!C163</f>
        <v>0</v>
      </c>
      <c r="E162" s="398">
        <f>+LATrackerALL!D163</f>
        <v>1</v>
      </c>
      <c r="F162" s="391"/>
      <c r="G162" s="391"/>
      <c r="H162" s="392"/>
      <c r="I162" s="391"/>
      <c r="J162" s="391"/>
      <c r="K162" s="392"/>
      <c r="L162" s="391"/>
      <c r="M162" s="391"/>
      <c r="N162" s="391"/>
    </row>
    <row r="163" spans="1:14" ht="16.55" hidden="1" customHeight="1" thickBot="1" x14ac:dyDescent="0.35">
      <c r="A163" s="378" t="str">
        <f t="shared" ca="1" si="2"/>
        <v/>
      </c>
      <c r="B163" s="395">
        <f>+LATrackerALL!A164</f>
        <v>42892</v>
      </c>
      <c r="C163" s="396">
        <f>+LATrackerALL!E164</f>
        <v>3</v>
      </c>
      <c r="D163" s="397">
        <f>+LATrackerALL!C164</f>
        <v>0</v>
      </c>
      <c r="E163" s="398">
        <f>+LATrackerALL!D164</f>
        <v>1</v>
      </c>
      <c r="F163" s="391"/>
      <c r="G163" s="391"/>
      <c r="H163" s="392"/>
      <c r="I163" s="391"/>
      <c r="J163" s="391"/>
      <c r="K163" s="392"/>
      <c r="L163" s="391"/>
      <c r="M163" s="391"/>
      <c r="N163" s="391"/>
    </row>
    <row r="164" spans="1:14" ht="16.55" hidden="1" customHeight="1" thickBot="1" x14ac:dyDescent="0.35">
      <c r="A164" s="378" t="str">
        <f t="shared" ca="1" si="2"/>
        <v/>
      </c>
      <c r="B164" s="395">
        <f>+LATrackerALL!A165</f>
        <v>42893</v>
      </c>
      <c r="C164" s="396">
        <f>+LATrackerALL!E165</f>
        <v>3</v>
      </c>
      <c r="D164" s="397">
        <f>+LATrackerALL!C165</f>
        <v>0</v>
      </c>
      <c r="E164" s="398">
        <f>+LATrackerALL!D165</f>
        <v>1</v>
      </c>
      <c r="F164" s="391"/>
      <c r="G164" s="391"/>
      <c r="H164" s="392"/>
      <c r="I164" s="391"/>
      <c r="J164" s="391"/>
      <c r="K164" s="392"/>
      <c r="L164" s="391"/>
      <c r="M164" s="391"/>
      <c r="N164" s="391"/>
    </row>
    <row r="165" spans="1:14" ht="16.55" hidden="1" customHeight="1" thickBot="1" x14ac:dyDescent="0.35">
      <c r="A165" s="378" t="str">
        <f t="shared" ca="1" si="2"/>
        <v/>
      </c>
      <c r="B165" s="395">
        <f>+LATrackerALL!A166</f>
        <v>42894</v>
      </c>
      <c r="C165" s="396">
        <f>+LATrackerALL!E166</f>
        <v>3</v>
      </c>
      <c r="D165" s="397">
        <f>+LATrackerALL!C166</f>
        <v>0</v>
      </c>
      <c r="E165" s="398">
        <f>+LATrackerALL!D166</f>
        <v>1</v>
      </c>
      <c r="F165" s="391"/>
      <c r="G165" s="391"/>
      <c r="H165" s="392"/>
      <c r="I165" s="391"/>
      <c r="J165" s="391"/>
      <c r="K165" s="392"/>
      <c r="L165" s="391"/>
      <c r="M165" s="391"/>
      <c r="N165" s="391"/>
    </row>
    <row r="166" spans="1:14" ht="16.55" hidden="1" customHeight="1" thickBot="1" x14ac:dyDescent="0.35">
      <c r="A166" s="378" t="str">
        <f t="shared" ca="1" si="2"/>
        <v/>
      </c>
      <c r="B166" s="395">
        <f>+LATrackerALL!A167</f>
        <v>42895</v>
      </c>
      <c r="C166" s="396">
        <f>+LATrackerALL!E167</f>
        <v>3</v>
      </c>
      <c r="D166" s="397">
        <f>+LATrackerALL!C167</f>
        <v>0</v>
      </c>
      <c r="E166" s="398">
        <f>+LATrackerALL!D167</f>
        <v>1</v>
      </c>
      <c r="F166" s="391"/>
      <c r="G166" s="391"/>
      <c r="H166" s="392"/>
      <c r="I166" s="391"/>
      <c r="J166" s="391"/>
      <c r="K166" s="392"/>
      <c r="L166" s="391"/>
      <c r="M166" s="391"/>
      <c r="N166" s="391"/>
    </row>
    <row r="167" spans="1:14" ht="16.55" hidden="1" customHeight="1" thickBot="1" x14ac:dyDescent="0.35">
      <c r="A167" s="378" t="str">
        <f t="shared" ca="1" si="2"/>
        <v/>
      </c>
      <c r="B167" s="395">
        <f>+LATrackerALL!A168</f>
        <v>42896</v>
      </c>
      <c r="C167" s="396">
        <f>+LATrackerALL!E168</f>
        <v>3</v>
      </c>
      <c r="D167" s="397">
        <f>+LATrackerALL!C168</f>
        <v>0</v>
      </c>
      <c r="E167" s="398">
        <f>+LATrackerALL!D168</f>
        <v>1</v>
      </c>
      <c r="F167" s="391"/>
      <c r="G167" s="391"/>
      <c r="H167" s="392"/>
      <c r="I167" s="391"/>
      <c r="J167" s="391"/>
      <c r="K167" s="392"/>
      <c r="L167" s="391"/>
      <c r="M167" s="391"/>
      <c r="N167" s="391"/>
    </row>
    <row r="168" spans="1:14" ht="16.55" hidden="1" customHeight="1" thickBot="1" x14ac:dyDescent="0.35">
      <c r="A168" s="378" t="str">
        <f t="shared" ca="1" si="2"/>
        <v/>
      </c>
      <c r="B168" s="395">
        <f>+LATrackerALL!A169</f>
        <v>42897</v>
      </c>
      <c r="C168" s="396">
        <f>+LATrackerALL!E169</f>
        <v>3</v>
      </c>
      <c r="D168" s="397">
        <f>+LATrackerALL!C169</f>
        <v>0</v>
      </c>
      <c r="E168" s="398">
        <f>+LATrackerALL!D169</f>
        <v>1</v>
      </c>
      <c r="F168" s="391"/>
      <c r="G168" s="391"/>
      <c r="H168" s="392"/>
      <c r="I168" s="391"/>
      <c r="J168" s="391"/>
      <c r="K168" s="392"/>
      <c r="L168" s="391"/>
      <c r="M168" s="391"/>
      <c r="N168" s="391"/>
    </row>
    <row r="169" spans="1:14" ht="16.55" hidden="1" customHeight="1" thickBot="1" x14ac:dyDescent="0.35">
      <c r="A169" s="378" t="str">
        <f t="shared" ca="1" si="2"/>
        <v/>
      </c>
      <c r="B169" s="395">
        <f>+LATrackerALL!A170</f>
        <v>42898</v>
      </c>
      <c r="C169" s="396">
        <f>+LATrackerALL!E170</f>
        <v>3</v>
      </c>
      <c r="D169" s="397">
        <f>+LATrackerALL!C170</f>
        <v>0</v>
      </c>
      <c r="E169" s="398">
        <f>+LATrackerALL!D170</f>
        <v>1</v>
      </c>
      <c r="F169" s="391"/>
      <c r="G169" s="391"/>
      <c r="H169" s="392"/>
      <c r="I169" s="391"/>
      <c r="J169" s="391"/>
      <c r="K169" s="392"/>
      <c r="L169" s="391"/>
      <c r="M169" s="391"/>
      <c r="N169" s="391"/>
    </row>
    <row r="170" spans="1:14" ht="16.55" hidden="1" customHeight="1" thickBot="1" x14ac:dyDescent="0.35">
      <c r="A170" s="378" t="str">
        <f t="shared" ca="1" si="2"/>
        <v/>
      </c>
      <c r="B170" s="395">
        <f>+LATrackerALL!A171</f>
        <v>42899</v>
      </c>
      <c r="C170" s="396">
        <f>+LATrackerALL!E171</f>
        <v>3</v>
      </c>
      <c r="D170" s="397">
        <f>+LATrackerALL!C171</f>
        <v>0</v>
      </c>
      <c r="E170" s="398">
        <f>+LATrackerALL!D171</f>
        <v>1</v>
      </c>
      <c r="F170" s="391"/>
      <c r="G170" s="391"/>
      <c r="H170" s="392"/>
      <c r="I170" s="391"/>
      <c r="J170" s="391"/>
      <c r="K170" s="392"/>
      <c r="L170" s="391"/>
      <c r="M170" s="391"/>
      <c r="N170" s="391"/>
    </row>
    <row r="171" spans="1:14" ht="16.55" hidden="1" customHeight="1" thickBot="1" x14ac:dyDescent="0.35">
      <c r="A171" s="378" t="str">
        <f t="shared" ca="1" si="2"/>
        <v/>
      </c>
      <c r="B171" s="395">
        <f>+LATrackerALL!A172</f>
        <v>42900</v>
      </c>
      <c r="C171" s="396">
        <f>+LATrackerALL!E172</f>
        <v>3</v>
      </c>
      <c r="D171" s="397">
        <f>+LATrackerALL!C172</f>
        <v>0</v>
      </c>
      <c r="E171" s="398">
        <f>+LATrackerALL!D172</f>
        <v>1</v>
      </c>
      <c r="F171" s="391"/>
      <c r="G171" s="391"/>
      <c r="H171" s="392"/>
      <c r="I171" s="391"/>
      <c r="J171" s="391"/>
      <c r="K171" s="392"/>
      <c r="L171" s="391"/>
      <c r="M171" s="391"/>
      <c r="N171" s="391"/>
    </row>
    <row r="172" spans="1:14" ht="16.55" hidden="1" customHeight="1" thickBot="1" x14ac:dyDescent="0.35">
      <c r="A172" s="378" t="str">
        <f t="shared" ca="1" si="2"/>
        <v/>
      </c>
      <c r="B172" s="395">
        <f>+LATrackerALL!A173</f>
        <v>42901</v>
      </c>
      <c r="C172" s="396">
        <f>+LATrackerALL!E173</f>
        <v>3</v>
      </c>
      <c r="D172" s="397">
        <f>+LATrackerALL!C173</f>
        <v>0</v>
      </c>
      <c r="E172" s="398">
        <f>+LATrackerALL!D173</f>
        <v>1</v>
      </c>
      <c r="F172" s="391"/>
      <c r="G172" s="391"/>
      <c r="H172" s="392"/>
      <c r="I172" s="391"/>
      <c r="J172" s="391"/>
      <c r="K172" s="392"/>
      <c r="L172" s="391"/>
      <c r="M172" s="391"/>
      <c r="N172" s="391"/>
    </row>
    <row r="173" spans="1:14" ht="16.55" hidden="1" customHeight="1" thickBot="1" x14ac:dyDescent="0.35">
      <c r="A173" s="378" t="str">
        <f t="shared" ca="1" si="2"/>
        <v/>
      </c>
      <c r="B173" s="395">
        <f>+LATrackerALL!A174</f>
        <v>42902</v>
      </c>
      <c r="C173" s="396">
        <f>+LATrackerALL!E174</f>
        <v>3</v>
      </c>
      <c r="D173" s="397">
        <f>+LATrackerALL!C174</f>
        <v>0</v>
      </c>
      <c r="E173" s="398">
        <f>+LATrackerALL!D174</f>
        <v>1</v>
      </c>
      <c r="F173" s="391"/>
      <c r="G173" s="391"/>
      <c r="H173" s="392"/>
      <c r="I173" s="391"/>
      <c r="J173" s="391"/>
      <c r="K173" s="392"/>
      <c r="L173" s="391"/>
      <c r="M173" s="391"/>
      <c r="N173" s="391"/>
    </row>
    <row r="174" spans="1:14" ht="16.55" hidden="1" customHeight="1" thickBot="1" x14ac:dyDescent="0.35">
      <c r="A174" s="378" t="str">
        <f t="shared" ca="1" si="2"/>
        <v/>
      </c>
      <c r="B174" s="395">
        <f>+LATrackerALL!A175</f>
        <v>42903</v>
      </c>
      <c r="C174" s="396">
        <f>+LATrackerALL!E175</f>
        <v>3</v>
      </c>
      <c r="D174" s="397">
        <f>+LATrackerALL!C175</f>
        <v>0</v>
      </c>
      <c r="E174" s="398">
        <f>+LATrackerALL!D175</f>
        <v>1</v>
      </c>
      <c r="F174" s="391"/>
      <c r="G174" s="391"/>
      <c r="H174" s="392"/>
      <c r="I174" s="391"/>
      <c r="J174" s="391"/>
      <c r="K174" s="392"/>
      <c r="L174" s="391"/>
      <c r="M174" s="391"/>
      <c r="N174" s="391"/>
    </row>
    <row r="175" spans="1:14" ht="16.55" hidden="1" customHeight="1" thickBot="1" x14ac:dyDescent="0.35">
      <c r="A175" s="378" t="str">
        <f t="shared" ca="1" si="2"/>
        <v/>
      </c>
      <c r="B175" s="395">
        <f>+LATrackerALL!A176</f>
        <v>42904</v>
      </c>
      <c r="C175" s="396">
        <f>+LATrackerALL!E176</f>
        <v>3</v>
      </c>
      <c r="D175" s="397">
        <f>+LATrackerALL!C176</f>
        <v>0</v>
      </c>
      <c r="E175" s="398">
        <f>+LATrackerALL!D176</f>
        <v>1</v>
      </c>
      <c r="F175" s="391"/>
      <c r="G175" s="391"/>
      <c r="H175" s="392"/>
      <c r="I175" s="391"/>
      <c r="J175" s="391"/>
      <c r="K175" s="392"/>
      <c r="L175" s="391"/>
      <c r="M175" s="391"/>
      <c r="N175" s="391"/>
    </row>
    <row r="176" spans="1:14" ht="16.55" hidden="1" customHeight="1" thickBot="1" x14ac:dyDescent="0.35">
      <c r="A176" s="378" t="str">
        <f t="shared" ca="1" si="2"/>
        <v/>
      </c>
      <c r="B176" s="395">
        <f>+LATrackerALL!A177</f>
        <v>42905</v>
      </c>
      <c r="C176" s="396">
        <f>+LATrackerALL!E177</f>
        <v>3</v>
      </c>
      <c r="D176" s="397">
        <f>+LATrackerALL!C177</f>
        <v>0</v>
      </c>
      <c r="E176" s="398">
        <f>+LATrackerALL!D177</f>
        <v>1</v>
      </c>
      <c r="F176" s="391"/>
      <c r="G176" s="391"/>
      <c r="H176" s="392"/>
      <c r="I176" s="391"/>
      <c r="J176" s="391"/>
      <c r="K176" s="392"/>
      <c r="L176" s="391"/>
      <c r="M176" s="391"/>
      <c r="N176" s="391"/>
    </row>
    <row r="177" spans="1:14" ht="16.55" hidden="1" customHeight="1" thickBot="1" x14ac:dyDescent="0.35">
      <c r="A177" s="378" t="str">
        <f t="shared" ca="1" si="2"/>
        <v/>
      </c>
      <c r="B177" s="395">
        <f>+LATrackerALL!A178</f>
        <v>42906</v>
      </c>
      <c r="C177" s="396">
        <f>+LATrackerALL!E178</f>
        <v>3</v>
      </c>
      <c r="D177" s="397">
        <f>+LATrackerALL!C178</f>
        <v>0</v>
      </c>
      <c r="E177" s="398">
        <f>+LATrackerALL!D178</f>
        <v>1</v>
      </c>
      <c r="F177" s="391"/>
      <c r="G177" s="391"/>
      <c r="H177" s="392"/>
      <c r="I177" s="391"/>
      <c r="J177" s="391"/>
      <c r="K177" s="392"/>
      <c r="L177" s="391"/>
      <c r="M177" s="391"/>
      <c r="N177" s="391"/>
    </row>
    <row r="178" spans="1:14" ht="16.55" hidden="1" customHeight="1" thickBot="1" x14ac:dyDescent="0.35">
      <c r="A178" s="378" t="str">
        <f t="shared" ca="1" si="2"/>
        <v/>
      </c>
      <c r="B178" s="395">
        <f>+LATrackerALL!A179</f>
        <v>42907</v>
      </c>
      <c r="C178" s="396">
        <f>+LATrackerALL!E179</f>
        <v>3</v>
      </c>
      <c r="D178" s="397">
        <f>+LATrackerALL!C179</f>
        <v>0</v>
      </c>
      <c r="E178" s="398">
        <f>+LATrackerALL!D179</f>
        <v>1</v>
      </c>
      <c r="F178" s="391"/>
      <c r="G178" s="391"/>
      <c r="H178" s="392"/>
      <c r="I178" s="391"/>
      <c r="J178" s="391"/>
      <c r="K178" s="392"/>
      <c r="L178" s="391"/>
      <c r="M178" s="391"/>
      <c r="N178" s="391"/>
    </row>
    <row r="179" spans="1:14" ht="16.55" hidden="1" customHeight="1" thickBot="1" x14ac:dyDescent="0.35">
      <c r="A179" s="378" t="str">
        <f t="shared" ca="1" si="2"/>
        <v/>
      </c>
      <c r="B179" s="395">
        <f>+LATrackerALL!A180</f>
        <v>42908</v>
      </c>
      <c r="C179" s="396">
        <f>+LATrackerALL!E180</f>
        <v>3</v>
      </c>
      <c r="D179" s="397">
        <f>+LATrackerALL!C180</f>
        <v>0</v>
      </c>
      <c r="E179" s="398">
        <f>+LATrackerALL!D180</f>
        <v>1</v>
      </c>
      <c r="F179" s="391"/>
      <c r="G179" s="391"/>
      <c r="H179" s="392"/>
      <c r="I179" s="391"/>
      <c r="J179" s="391"/>
      <c r="K179" s="392"/>
      <c r="L179" s="391"/>
      <c r="M179" s="391"/>
      <c r="N179" s="391"/>
    </row>
    <row r="180" spans="1:14" ht="16.55" hidden="1" customHeight="1" thickBot="1" x14ac:dyDescent="0.35">
      <c r="A180" s="378" t="str">
        <f t="shared" ca="1" si="2"/>
        <v/>
      </c>
      <c r="B180" s="395">
        <f>+LATrackerALL!A181</f>
        <v>42909</v>
      </c>
      <c r="C180" s="396">
        <f>+LATrackerALL!E181</f>
        <v>3</v>
      </c>
      <c r="D180" s="397">
        <f>+LATrackerALL!C181</f>
        <v>0</v>
      </c>
      <c r="E180" s="398">
        <f>+LATrackerALL!D181</f>
        <v>1</v>
      </c>
      <c r="F180" s="391"/>
      <c r="G180" s="391"/>
      <c r="H180" s="392"/>
      <c r="I180" s="391"/>
      <c r="J180" s="391"/>
      <c r="K180" s="392"/>
      <c r="L180" s="391"/>
      <c r="M180" s="391"/>
      <c r="N180" s="391"/>
    </row>
    <row r="181" spans="1:14" ht="16.55" hidden="1" customHeight="1" thickBot="1" x14ac:dyDescent="0.35">
      <c r="A181" s="378" t="str">
        <f t="shared" ca="1" si="2"/>
        <v/>
      </c>
      <c r="B181" s="395">
        <f>+LATrackerALL!A182</f>
        <v>42910</v>
      </c>
      <c r="C181" s="396">
        <f>+LATrackerALL!E182</f>
        <v>3</v>
      </c>
      <c r="D181" s="397">
        <f>+LATrackerALL!C182</f>
        <v>0</v>
      </c>
      <c r="E181" s="398">
        <f>+LATrackerALL!D182</f>
        <v>1</v>
      </c>
      <c r="F181" s="391"/>
      <c r="G181" s="391"/>
      <c r="H181" s="392"/>
      <c r="I181" s="391"/>
      <c r="J181" s="391"/>
      <c r="K181" s="392"/>
      <c r="L181" s="391"/>
      <c r="M181" s="391"/>
      <c r="N181" s="391"/>
    </row>
    <row r="182" spans="1:14" ht="16.55" hidden="1" customHeight="1" thickBot="1" x14ac:dyDescent="0.35">
      <c r="A182" s="378" t="str">
        <f t="shared" ca="1" si="2"/>
        <v/>
      </c>
      <c r="B182" s="395">
        <f>+LATrackerALL!A183</f>
        <v>42911</v>
      </c>
      <c r="C182" s="396">
        <f>+LATrackerALL!E183</f>
        <v>3</v>
      </c>
      <c r="D182" s="397">
        <f>+LATrackerALL!C183</f>
        <v>0</v>
      </c>
      <c r="E182" s="398">
        <f>+LATrackerALL!D183</f>
        <v>1</v>
      </c>
      <c r="F182" s="391"/>
      <c r="G182" s="391"/>
      <c r="H182" s="392"/>
      <c r="I182" s="391"/>
      <c r="J182" s="391"/>
      <c r="K182" s="392"/>
      <c r="L182" s="391"/>
      <c r="M182" s="391"/>
      <c r="N182" s="391"/>
    </row>
    <row r="183" spans="1:14" ht="16.55" hidden="1" customHeight="1" thickBot="1" x14ac:dyDescent="0.35">
      <c r="A183" s="378" t="str">
        <f t="shared" ca="1" si="2"/>
        <v/>
      </c>
      <c r="B183" s="395">
        <f>+LATrackerALL!A184</f>
        <v>42912</v>
      </c>
      <c r="C183" s="396">
        <f>+LATrackerALL!E184</f>
        <v>3</v>
      </c>
      <c r="D183" s="397">
        <f>+LATrackerALL!C184</f>
        <v>0</v>
      </c>
      <c r="E183" s="398">
        <f>+LATrackerALL!D184</f>
        <v>1</v>
      </c>
      <c r="F183" s="391"/>
      <c r="G183" s="391"/>
      <c r="H183" s="392"/>
      <c r="I183" s="391"/>
      <c r="J183" s="391"/>
      <c r="K183" s="392"/>
      <c r="L183" s="391"/>
      <c r="M183" s="391"/>
      <c r="N183" s="391"/>
    </row>
    <row r="184" spans="1:14" ht="16.55" hidden="1" customHeight="1" thickBot="1" x14ac:dyDescent="0.35">
      <c r="A184" s="378" t="str">
        <f t="shared" ca="1" si="2"/>
        <v/>
      </c>
      <c r="B184" s="395">
        <f>+LATrackerALL!A185</f>
        <v>42913</v>
      </c>
      <c r="C184" s="396">
        <f>+LATrackerALL!E185</f>
        <v>3</v>
      </c>
      <c r="D184" s="397">
        <f>+LATrackerALL!C185</f>
        <v>0</v>
      </c>
      <c r="E184" s="398">
        <f>+LATrackerALL!D185</f>
        <v>1</v>
      </c>
      <c r="F184" s="391"/>
      <c r="G184" s="391"/>
      <c r="H184" s="392"/>
      <c r="I184" s="391"/>
      <c r="J184" s="391"/>
      <c r="K184" s="392"/>
      <c r="L184" s="391"/>
      <c r="M184" s="391"/>
      <c r="N184" s="391"/>
    </row>
    <row r="185" spans="1:14" ht="16.55" hidden="1" customHeight="1" thickBot="1" x14ac:dyDescent="0.35">
      <c r="A185" s="378" t="str">
        <f t="shared" ca="1" si="2"/>
        <v/>
      </c>
      <c r="B185" s="395">
        <f>+LATrackerALL!A186</f>
        <v>42914</v>
      </c>
      <c r="C185" s="396">
        <f>+LATrackerALL!E186</f>
        <v>3</v>
      </c>
      <c r="D185" s="397">
        <f>+LATrackerALL!C186</f>
        <v>0</v>
      </c>
      <c r="E185" s="398">
        <f>+LATrackerALL!D186</f>
        <v>1</v>
      </c>
      <c r="F185" s="391"/>
      <c r="G185" s="391"/>
      <c r="H185" s="392"/>
      <c r="I185" s="391"/>
      <c r="J185" s="391"/>
      <c r="K185" s="392"/>
      <c r="L185" s="391"/>
      <c r="M185" s="391"/>
      <c r="N185" s="391"/>
    </row>
    <row r="186" spans="1:14" ht="16.55" customHeight="1" thickBot="1" x14ac:dyDescent="0.35">
      <c r="A186" s="378" t="str">
        <f t="shared" ca="1" si="2"/>
        <v/>
      </c>
      <c r="B186" s="395">
        <f>+LATrackerALL!A187</f>
        <v>42915</v>
      </c>
      <c r="C186" s="396">
        <f>+LATrackerALL!E187</f>
        <v>3</v>
      </c>
      <c r="D186" s="397">
        <f>+LATrackerALL!C187</f>
        <v>0</v>
      </c>
      <c r="E186" s="398">
        <f>+LATrackerALL!D187</f>
        <v>1</v>
      </c>
      <c r="F186" s="391"/>
      <c r="G186" s="391"/>
      <c r="H186" s="392"/>
      <c r="I186" s="391"/>
      <c r="J186" s="391"/>
      <c r="K186" s="392"/>
      <c r="L186" s="391"/>
      <c r="M186" s="391"/>
      <c r="N186" s="391"/>
    </row>
    <row r="187" spans="1:14" ht="16.55" hidden="1" customHeight="1" thickBot="1" x14ac:dyDescent="0.35">
      <c r="A187" s="378" t="str">
        <f t="shared" ca="1" si="2"/>
        <v/>
      </c>
      <c r="B187" s="395">
        <f>+LATrackerALL!A188</f>
        <v>42916</v>
      </c>
      <c r="C187" s="396">
        <f>+LATrackerALL!E188</f>
        <v>3</v>
      </c>
      <c r="D187" s="397">
        <f>+LATrackerALL!C188</f>
        <v>0</v>
      </c>
      <c r="E187" s="398">
        <f>+LATrackerALL!D188</f>
        <v>1</v>
      </c>
      <c r="F187" s="391"/>
      <c r="G187" s="391"/>
      <c r="H187" s="392"/>
      <c r="I187" s="391"/>
      <c r="J187" s="391"/>
      <c r="K187" s="392"/>
      <c r="L187" s="391"/>
      <c r="M187" s="391"/>
      <c r="N187" s="391"/>
    </row>
    <row r="188" spans="1:14" ht="16.55" hidden="1" customHeight="1" thickBot="1" x14ac:dyDescent="0.35">
      <c r="A188" s="378" t="str">
        <f t="shared" ca="1" si="2"/>
        <v/>
      </c>
      <c r="B188" s="395">
        <f>+LATrackerALL!A189</f>
        <v>42917</v>
      </c>
      <c r="C188" s="396">
        <f>+LATrackerALL!E189</f>
        <v>3</v>
      </c>
      <c r="D188" s="397">
        <f>+LATrackerALL!C189</f>
        <v>0</v>
      </c>
      <c r="E188" s="398">
        <f>+LATrackerALL!D189</f>
        <v>1</v>
      </c>
      <c r="F188" s="391"/>
      <c r="G188" s="391"/>
      <c r="H188" s="392"/>
      <c r="I188" s="391"/>
      <c r="J188" s="391"/>
      <c r="K188" s="392"/>
      <c r="L188" s="391"/>
      <c r="M188" s="391"/>
      <c r="N188" s="391"/>
    </row>
    <row r="189" spans="1:14" ht="16.55" hidden="1" customHeight="1" thickBot="1" x14ac:dyDescent="0.35">
      <c r="A189" s="378" t="str">
        <f t="shared" ca="1" si="2"/>
        <v/>
      </c>
      <c r="B189" s="395">
        <f>+LATrackerALL!A190</f>
        <v>42918</v>
      </c>
      <c r="C189" s="396">
        <f>+LATrackerALL!E190</f>
        <v>3</v>
      </c>
      <c r="D189" s="397">
        <f>+LATrackerALL!C190</f>
        <v>0</v>
      </c>
      <c r="E189" s="398">
        <f>+LATrackerALL!D190</f>
        <v>1</v>
      </c>
      <c r="F189" s="391"/>
      <c r="G189" s="391"/>
      <c r="H189" s="392"/>
      <c r="I189" s="391"/>
      <c r="J189" s="391"/>
      <c r="K189" s="392"/>
      <c r="L189" s="391"/>
      <c r="M189" s="391"/>
      <c r="N189" s="391"/>
    </row>
    <row r="190" spans="1:14" ht="16.55" hidden="1" customHeight="1" thickBot="1" x14ac:dyDescent="0.35">
      <c r="A190" s="378" t="str">
        <f t="shared" ca="1" si="2"/>
        <v/>
      </c>
      <c r="B190" s="395">
        <f>+LATrackerALL!A191</f>
        <v>42919</v>
      </c>
      <c r="C190" s="396">
        <f>+LATrackerALL!E191</f>
        <v>3</v>
      </c>
      <c r="D190" s="397">
        <f>+LATrackerALL!C191</f>
        <v>0</v>
      </c>
      <c r="E190" s="398">
        <f>+LATrackerALL!D191</f>
        <v>1</v>
      </c>
      <c r="F190" s="391"/>
      <c r="G190" s="391"/>
      <c r="H190" s="392"/>
      <c r="I190" s="391"/>
      <c r="J190" s="391"/>
      <c r="K190" s="392"/>
      <c r="L190" s="391"/>
      <c r="M190" s="391"/>
      <c r="N190" s="391"/>
    </row>
    <row r="191" spans="1:14" ht="16.55" hidden="1" customHeight="1" thickBot="1" x14ac:dyDescent="0.35">
      <c r="A191" s="378" t="str">
        <f t="shared" ca="1" si="2"/>
        <v/>
      </c>
      <c r="B191" s="395">
        <f>+LATrackerALL!A192</f>
        <v>42920</v>
      </c>
      <c r="C191" s="396">
        <f>+LATrackerALL!E192</f>
        <v>4</v>
      </c>
      <c r="D191" s="397">
        <f>+LATrackerALL!C192</f>
        <v>0.33333333333333331</v>
      </c>
      <c r="E191" s="398">
        <f>+LATrackerALL!D192</f>
        <v>1.3333333333333333</v>
      </c>
      <c r="F191" s="391"/>
      <c r="G191" s="391"/>
      <c r="H191" s="392"/>
      <c r="I191" s="391"/>
      <c r="J191" s="391"/>
      <c r="K191" s="392"/>
      <c r="L191" s="391"/>
      <c r="M191" s="391"/>
      <c r="N191" s="391"/>
    </row>
    <row r="192" spans="1:14" ht="16.55" hidden="1" customHeight="1" thickBot="1" x14ac:dyDescent="0.35">
      <c r="A192" s="378" t="str">
        <f t="shared" ca="1" si="2"/>
        <v/>
      </c>
      <c r="B192" s="395">
        <f>+LATrackerALL!A193</f>
        <v>42921</v>
      </c>
      <c r="C192" s="396">
        <f>+LATrackerALL!E193</f>
        <v>4</v>
      </c>
      <c r="D192" s="397">
        <f>+LATrackerALL!C193</f>
        <v>0</v>
      </c>
      <c r="E192" s="398">
        <f>+LATrackerALL!D193</f>
        <v>1.3333333333333333</v>
      </c>
      <c r="F192" s="391"/>
      <c r="G192" s="391"/>
      <c r="H192" s="392"/>
      <c r="I192" s="391"/>
      <c r="J192" s="391"/>
      <c r="K192" s="392"/>
      <c r="L192" s="391"/>
      <c r="M192" s="391"/>
      <c r="N192" s="391"/>
    </row>
    <row r="193" spans="1:14" ht="16.55" hidden="1" customHeight="1" thickBot="1" x14ac:dyDescent="0.35">
      <c r="A193" s="378" t="str">
        <f t="shared" ca="1" si="2"/>
        <v/>
      </c>
      <c r="B193" s="395">
        <f>+LATrackerALL!A194</f>
        <v>42922</v>
      </c>
      <c r="C193" s="396">
        <f>+LATrackerALL!E194</f>
        <v>4</v>
      </c>
      <c r="D193" s="397">
        <f>+LATrackerALL!C194</f>
        <v>0</v>
      </c>
      <c r="E193" s="398">
        <f>+LATrackerALL!D194</f>
        <v>1.3333333333333333</v>
      </c>
      <c r="F193" s="391"/>
      <c r="G193" s="391"/>
      <c r="H193" s="392"/>
      <c r="I193" s="391"/>
      <c r="J193" s="391"/>
      <c r="K193" s="392"/>
      <c r="L193" s="391"/>
      <c r="M193" s="391"/>
      <c r="N193" s="391"/>
    </row>
    <row r="194" spans="1:14" ht="16.55" hidden="1" customHeight="1" thickBot="1" x14ac:dyDescent="0.35">
      <c r="A194" s="378" t="str">
        <f t="shared" ca="1" si="2"/>
        <v/>
      </c>
      <c r="B194" s="395">
        <f>+LATrackerALL!A195</f>
        <v>42923</v>
      </c>
      <c r="C194" s="396">
        <f>+LATrackerALL!E195</f>
        <v>4</v>
      </c>
      <c r="D194" s="397">
        <f>+LATrackerALL!C195</f>
        <v>0</v>
      </c>
      <c r="E194" s="398">
        <f>+LATrackerALL!D195</f>
        <v>1.3333333333333333</v>
      </c>
      <c r="F194" s="391"/>
      <c r="G194" s="391"/>
      <c r="H194" s="392"/>
      <c r="I194" s="391"/>
      <c r="J194" s="391"/>
      <c r="K194" s="392"/>
      <c r="L194" s="391"/>
      <c r="M194" s="391"/>
      <c r="N194" s="391"/>
    </row>
    <row r="195" spans="1:14" ht="16.55" hidden="1" customHeight="1" thickBot="1" x14ac:dyDescent="0.35">
      <c r="A195" s="378" t="str">
        <f t="shared" ca="1" si="2"/>
        <v/>
      </c>
      <c r="B195" s="395">
        <f>+LATrackerALL!A196</f>
        <v>42924</v>
      </c>
      <c r="C195" s="396">
        <f>+LATrackerALL!E196</f>
        <v>4</v>
      </c>
      <c r="D195" s="397">
        <f>+LATrackerALL!C196</f>
        <v>0</v>
      </c>
      <c r="E195" s="398">
        <f>+LATrackerALL!D196</f>
        <v>1.3333333333333333</v>
      </c>
      <c r="F195" s="391"/>
      <c r="G195" s="391"/>
      <c r="H195" s="392"/>
      <c r="I195" s="391"/>
      <c r="J195" s="391"/>
      <c r="K195" s="392"/>
      <c r="L195" s="391"/>
      <c r="M195" s="391"/>
      <c r="N195" s="391"/>
    </row>
    <row r="196" spans="1:14" ht="16.55" hidden="1" customHeight="1" thickBot="1" x14ac:dyDescent="0.35">
      <c r="A196" s="378" t="str">
        <f t="shared" ca="1" si="2"/>
        <v/>
      </c>
      <c r="B196" s="395">
        <f>+LATrackerALL!A197</f>
        <v>42925</v>
      </c>
      <c r="C196" s="396">
        <f>+LATrackerALL!E197</f>
        <v>4</v>
      </c>
      <c r="D196" s="397">
        <f>+LATrackerALL!C197</f>
        <v>0</v>
      </c>
      <c r="E196" s="398">
        <f>+LATrackerALL!D197</f>
        <v>1.3333333333333333</v>
      </c>
      <c r="F196" s="391"/>
      <c r="G196" s="391"/>
      <c r="H196" s="392"/>
      <c r="I196" s="391"/>
      <c r="J196" s="391"/>
      <c r="K196" s="392"/>
      <c r="L196" s="391"/>
      <c r="M196" s="391"/>
      <c r="N196" s="391"/>
    </row>
    <row r="197" spans="1:14" ht="16.55" hidden="1" customHeight="1" thickBot="1" x14ac:dyDescent="0.35">
      <c r="A197" s="378" t="str">
        <f t="shared" ca="1" si="2"/>
        <v/>
      </c>
      <c r="B197" s="395">
        <f>+LATrackerALL!A198</f>
        <v>42926</v>
      </c>
      <c r="C197" s="396">
        <f>+LATrackerALL!E198</f>
        <v>4</v>
      </c>
      <c r="D197" s="397">
        <f>+LATrackerALL!C198</f>
        <v>0</v>
      </c>
      <c r="E197" s="398">
        <f>+LATrackerALL!D198</f>
        <v>1.3333333333333333</v>
      </c>
      <c r="F197" s="391"/>
      <c r="G197" s="391"/>
      <c r="H197" s="392"/>
      <c r="I197" s="391"/>
      <c r="J197" s="391"/>
      <c r="K197" s="392"/>
      <c r="L197" s="391"/>
      <c r="M197" s="391"/>
      <c r="N197" s="391"/>
    </row>
    <row r="198" spans="1:14" ht="16.55" hidden="1" customHeight="1" thickBot="1" x14ac:dyDescent="0.35">
      <c r="A198" s="378" t="str">
        <f t="shared" ca="1" si="2"/>
        <v/>
      </c>
      <c r="B198" s="395">
        <f>+LATrackerALL!A199</f>
        <v>42927</v>
      </c>
      <c r="C198" s="396">
        <f>+LATrackerALL!E199</f>
        <v>4</v>
      </c>
      <c r="D198" s="397">
        <f>+LATrackerALL!C199</f>
        <v>0</v>
      </c>
      <c r="E198" s="398">
        <f>+LATrackerALL!D199</f>
        <v>1.3333333333333333</v>
      </c>
      <c r="F198" s="391"/>
      <c r="G198" s="391"/>
      <c r="H198" s="392"/>
      <c r="I198" s="391"/>
      <c r="J198" s="391"/>
      <c r="K198" s="392"/>
      <c r="L198" s="391"/>
      <c r="M198" s="391"/>
      <c r="N198" s="391"/>
    </row>
    <row r="199" spans="1:14" ht="16.55" hidden="1" customHeight="1" thickBot="1" x14ac:dyDescent="0.35">
      <c r="A199" s="378" t="str">
        <f t="shared" ca="1" si="2"/>
        <v/>
      </c>
      <c r="B199" s="395">
        <f>+LATrackerALL!A200</f>
        <v>42928</v>
      </c>
      <c r="C199" s="396">
        <f>+LATrackerALL!E200</f>
        <v>4</v>
      </c>
      <c r="D199" s="397">
        <f>+LATrackerALL!C200</f>
        <v>0</v>
      </c>
      <c r="E199" s="398">
        <f>+LATrackerALL!D200</f>
        <v>1.3333333333333333</v>
      </c>
      <c r="F199" s="391"/>
      <c r="G199" s="391"/>
      <c r="H199" s="392"/>
      <c r="I199" s="391"/>
      <c r="J199" s="391"/>
      <c r="K199" s="392"/>
      <c r="L199" s="391"/>
      <c r="M199" s="391"/>
      <c r="N199" s="391"/>
    </row>
    <row r="200" spans="1:14" ht="16.55" hidden="1" customHeight="1" thickBot="1" x14ac:dyDescent="0.35">
      <c r="A200" s="378" t="str">
        <f t="shared" ca="1" si="2"/>
        <v/>
      </c>
      <c r="B200" s="395">
        <f>+LATrackerALL!A201</f>
        <v>42929</v>
      </c>
      <c r="C200" s="396">
        <f>+LATrackerALL!E201</f>
        <v>4</v>
      </c>
      <c r="D200" s="397">
        <f>+LATrackerALL!C201</f>
        <v>0</v>
      </c>
      <c r="E200" s="398">
        <f>+LATrackerALL!D201</f>
        <v>1.3333333333333333</v>
      </c>
      <c r="F200" s="391"/>
      <c r="G200" s="391"/>
      <c r="H200" s="392"/>
      <c r="I200" s="391"/>
      <c r="J200" s="391"/>
      <c r="K200" s="392"/>
      <c r="L200" s="391"/>
      <c r="M200" s="391"/>
      <c r="N200" s="391"/>
    </row>
    <row r="201" spans="1:14" ht="16.55" hidden="1" customHeight="1" thickBot="1" x14ac:dyDescent="0.35">
      <c r="A201" s="378" t="str">
        <f t="shared" ref="A201:A264" ca="1" si="3">IF(TODAY()&gt;=B201,"==&gt;","")</f>
        <v/>
      </c>
      <c r="B201" s="395">
        <f>+LATrackerALL!A202</f>
        <v>42930</v>
      </c>
      <c r="C201" s="396">
        <f>+LATrackerALL!E202</f>
        <v>4</v>
      </c>
      <c r="D201" s="397">
        <f>+LATrackerALL!C202</f>
        <v>0</v>
      </c>
      <c r="E201" s="398">
        <f>+LATrackerALL!D202</f>
        <v>1.3333333333333333</v>
      </c>
      <c r="F201" s="391"/>
      <c r="G201" s="391"/>
      <c r="H201" s="392"/>
      <c r="I201" s="391"/>
      <c r="J201" s="391"/>
      <c r="K201" s="392"/>
      <c r="L201" s="391"/>
      <c r="M201" s="391"/>
      <c r="N201" s="391"/>
    </row>
    <row r="202" spans="1:14" ht="16.55" hidden="1" customHeight="1" thickBot="1" x14ac:dyDescent="0.35">
      <c r="A202" s="378" t="str">
        <f t="shared" ca="1" si="3"/>
        <v/>
      </c>
      <c r="B202" s="395">
        <f>+LATrackerALL!A203</f>
        <v>42931</v>
      </c>
      <c r="C202" s="396">
        <f>+LATrackerALL!E203</f>
        <v>4</v>
      </c>
      <c r="D202" s="397">
        <f>+LATrackerALL!C203</f>
        <v>0</v>
      </c>
      <c r="E202" s="398">
        <f>+LATrackerALL!D203</f>
        <v>1.3333333333333333</v>
      </c>
      <c r="F202" s="391"/>
      <c r="G202" s="391"/>
      <c r="H202" s="392"/>
      <c r="I202" s="391"/>
      <c r="J202" s="391"/>
      <c r="K202" s="392"/>
      <c r="L202" s="391"/>
      <c r="M202" s="391"/>
      <c r="N202" s="391"/>
    </row>
    <row r="203" spans="1:14" ht="16.55" hidden="1" customHeight="1" thickBot="1" x14ac:dyDescent="0.35">
      <c r="A203" s="378" t="str">
        <f t="shared" ca="1" si="3"/>
        <v/>
      </c>
      <c r="B203" s="395">
        <f>+LATrackerALL!A204</f>
        <v>42932</v>
      </c>
      <c r="C203" s="396">
        <f>+LATrackerALL!E204</f>
        <v>4</v>
      </c>
      <c r="D203" s="397">
        <f>+LATrackerALL!C204</f>
        <v>0</v>
      </c>
      <c r="E203" s="398">
        <f>+LATrackerALL!D204</f>
        <v>1.3333333333333333</v>
      </c>
      <c r="F203" s="391"/>
      <c r="G203" s="391"/>
      <c r="H203" s="392"/>
      <c r="I203" s="391"/>
      <c r="J203" s="391"/>
      <c r="K203" s="392"/>
      <c r="L203" s="391"/>
      <c r="M203" s="391"/>
      <c r="N203" s="391"/>
    </row>
    <row r="204" spans="1:14" ht="16.55" hidden="1" customHeight="1" thickBot="1" x14ac:dyDescent="0.35">
      <c r="A204" s="378" t="str">
        <f t="shared" ca="1" si="3"/>
        <v/>
      </c>
      <c r="B204" s="395">
        <f>+LATrackerALL!A205</f>
        <v>42933</v>
      </c>
      <c r="C204" s="396">
        <f>+LATrackerALL!E205</f>
        <v>4</v>
      </c>
      <c r="D204" s="397">
        <f>+LATrackerALL!C205</f>
        <v>0</v>
      </c>
      <c r="E204" s="398">
        <f>+LATrackerALL!D205</f>
        <v>1.3333333333333333</v>
      </c>
      <c r="F204" s="391"/>
      <c r="G204" s="391"/>
      <c r="H204" s="392"/>
      <c r="I204" s="391"/>
      <c r="J204" s="391"/>
      <c r="K204" s="392"/>
      <c r="L204" s="391"/>
      <c r="M204" s="391"/>
      <c r="N204" s="391"/>
    </row>
    <row r="205" spans="1:14" ht="16.55" hidden="1" customHeight="1" thickBot="1" x14ac:dyDescent="0.35">
      <c r="A205" s="378" t="str">
        <f t="shared" ca="1" si="3"/>
        <v/>
      </c>
      <c r="B205" s="395">
        <f>+LATrackerALL!A206</f>
        <v>42934</v>
      </c>
      <c r="C205" s="396">
        <f>+LATrackerALL!E206</f>
        <v>4</v>
      </c>
      <c r="D205" s="397">
        <f>+LATrackerALL!C206</f>
        <v>0</v>
      </c>
      <c r="E205" s="398">
        <f>+LATrackerALL!D206</f>
        <v>1.3333333333333333</v>
      </c>
      <c r="F205" s="391"/>
      <c r="G205" s="391"/>
      <c r="H205" s="392"/>
      <c r="I205" s="391"/>
      <c r="J205" s="391"/>
      <c r="K205" s="392"/>
      <c r="L205" s="391"/>
      <c r="M205" s="391"/>
      <c r="N205" s="391"/>
    </row>
    <row r="206" spans="1:14" ht="16.55" hidden="1" customHeight="1" thickBot="1" x14ac:dyDescent="0.35">
      <c r="A206" s="378" t="str">
        <f t="shared" ca="1" si="3"/>
        <v/>
      </c>
      <c r="B206" s="395">
        <f>+LATrackerALL!A207</f>
        <v>42935</v>
      </c>
      <c r="C206" s="396">
        <f>+LATrackerALL!E207</f>
        <v>4</v>
      </c>
      <c r="D206" s="397">
        <f>+LATrackerALL!C207</f>
        <v>0</v>
      </c>
      <c r="E206" s="398">
        <f>+LATrackerALL!D207</f>
        <v>1.3333333333333333</v>
      </c>
      <c r="F206" s="391"/>
      <c r="G206" s="391"/>
      <c r="H206" s="392"/>
      <c r="I206" s="391"/>
      <c r="J206" s="391"/>
      <c r="K206" s="392"/>
      <c r="L206" s="391"/>
      <c r="M206" s="391"/>
      <c r="N206" s="391"/>
    </row>
    <row r="207" spans="1:14" ht="16.55" hidden="1" customHeight="1" thickBot="1" x14ac:dyDescent="0.35">
      <c r="A207" s="378" t="str">
        <f t="shared" ca="1" si="3"/>
        <v/>
      </c>
      <c r="B207" s="395">
        <f>+LATrackerALL!A208</f>
        <v>42936</v>
      </c>
      <c r="C207" s="396">
        <f>+LATrackerALL!E208</f>
        <v>4</v>
      </c>
      <c r="D207" s="397">
        <f>+LATrackerALL!C208</f>
        <v>0</v>
      </c>
      <c r="E207" s="398">
        <f>+LATrackerALL!D208</f>
        <v>1.3333333333333333</v>
      </c>
      <c r="F207" s="391"/>
      <c r="G207" s="391"/>
      <c r="H207" s="392"/>
      <c r="I207" s="391"/>
      <c r="J207" s="391"/>
      <c r="K207" s="392"/>
      <c r="L207" s="391"/>
      <c r="M207" s="391"/>
      <c r="N207" s="391"/>
    </row>
    <row r="208" spans="1:14" ht="16.55" hidden="1" customHeight="1" thickBot="1" x14ac:dyDescent="0.35">
      <c r="A208" s="378" t="str">
        <f t="shared" ca="1" si="3"/>
        <v/>
      </c>
      <c r="B208" s="395">
        <f>+LATrackerALL!A209</f>
        <v>42937</v>
      </c>
      <c r="C208" s="396">
        <f>+LATrackerALL!E209</f>
        <v>4</v>
      </c>
      <c r="D208" s="397">
        <f>+LATrackerALL!C209</f>
        <v>0</v>
      </c>
      <c r="E208" s="398">
        <f>+LATrackerALL!D209</f>
        <v>1.3333333333333333</v>
      </c>
      <c r="F208" s="391"/>
      <c r="G208" s="391"/>
      <c r="H208" s="392"/>
      <c r="I208" s="391"/>
      <c r="J208" s="391"/>
      <c r="K208" s="392"/>
      <c r="L208" s="391"/>
      <c r="M208" s="391"/>
      <c r="N208" s="391"/>
    </row>
    <row r="209" spans="1:14" ht="16.55" hidden="1" customHeight="1" thickBot="1" x14ac:dyDescent="0.35">
      <c r="A209" s="378" t="str">
        <f t="shared" ca="1" si="3"/>
        <v/>
      </c>
      <c r="B209" s="395">
        <f>+LATrackerALL!A210</f>
        <v>42938</v>
      </c>
      <c r="C209" s="396">
        <f>+LATrackerALL!E210</f>
        <v>4</v>
      </c>
      <c r="D209" s="397">
        <f>+LATrackerALL!C210</f>
        <v>0</v>
      </c>
      <c r="E209" s="398">
        <f>+LATrackerALL!D210</f>
        <v>1.3333333333333333</v>
      </c>
      <c r="F209" s="391"/>
      <c r="G209" s="391"/>
      <c r="H209" s="392"/>
      <c r="I209" s="391"/>
      <c r="J209" s="391"/>
      <c r="K209" s="392"/>
      <c r="L209" s="391"/>
      <c r="M209" s="391"/>
      <c r="N209" s="391"/>
    </row>
    <row r="210" spans="1:14" ht="16.55" hidden="1" customHeight="1" thickBot="1" x14ac:dyDescent="0.35">
      <c r="A210" s="378" t="str">
        <f t="shared" ca="1" si="3"/>
        <v/>
      </c>
      <c r="B210" s="395">
        <f>+LATrackerALL!A211</f>
        <v>42939</v>
      </c>
      <c r="C210" s="396">
        <f>+LATrackerALL!E211</f>
        <v>4</v>
      </c>
      <c r="D210" s="397">
        <f>+LATrackerALL!C211</f>
        <v>0</v>
      </c>
      <c r="E210" s="398">
        <f>+LATrackerALL!D211</f>
        <v>1.3333333333333333</v>
      </c>
      <c r="F210" s="391"/>
      <c r="G210" s="391"/>
      <c r="H210" s="392"/>
      <c r="I210" s="391"/>
      <c r="J210" s="391"/>
      <c r="K210" s="392"/>
      <c r="L210" s="391"/>
      <c r="M210" s="391"/>
      <c r="N210" s="391"/>
    </row>
    <row r="211" spans="1:14" ht="16.55" hidden="1" customHeight="1" thickBot="1" x14ac:dyDescent="0.35">
      <c r="A211" s="378" t="str">
        <f t="shared" ca="1" si="3"/>
        <v/>
      </c>
      <c r="B211" s="395">
        <f>+LATrackerALL!A212</f>
        <v>42940</v>
      </c>
      <c r="C211" s="396">
        <f>+LATrackerALL!E212</f>
        <v>4</v>
      </c>
      <c r="D211" s="397">
        <f>+LATrackerALL!C212</f>
        <v>0</v>
      </c>
      <c r="E211" s="398">
        <f>+LATrackerALL!D212</f>
        <v>1.3333333333333333</v>
      </c>
      <c r="F211" s="391"/>
      <c r="G211" s="391"/>
      <c r="H211" s="392"/>
      <c r="I211" s="391"/>
      <c r="J211" s="391"/>
      <c r="K211" s="392"/>
      <c r="L211" s="391"/>
      <c r="M211" s="391"/>
      <c r="N211" s="391"/>
    </row>
    <row r="212" spans="1:14" ht="16.55" hidden="1" customHeight="1" thickBot="1" x14ac:dyDescent="0.35">
      <c r="A212" s="378" t="str">
        <f t="shared" ca="1" si="3"/>
        <v/>
      </c>
      <c r="B212" s="395">
        <f>+LATrackerALL!A213</f>
        <v>42941</v>
      </c>
      <c r="C212" s="396">
        <f>+LATrackerALL!E213</f>
        <v>4</v>
      </c>
      <c r="D212" s="397">
        <f>+LATrackerALL!C213</f>
        <v>0</v>
      </c>
      <c r="E212" s="398">
        <f>+LATrackerALL!D213</f>
        <v>1.3333333333333333</v>
      </c>
      <c r="F212" s="391"/>
      <c r="G212" s="391"/>
      <c r="H212" s="392"/>
      <c r="I212" s="391"/>
      <c r="J212" s="391"/>
      <c r="K212" s="392"/>
      <c r="L212" s="391"/>
      <c r="M212" s="391"/>
      <c r="N212" s="391"/>
    </row>
    <row r="213" spans="1:14" ht="16.55" hidden="1" customHeight="1" thickBot="1" x14ac:dyDescent="0.35">
      <c r="A213" s="378" t="str">
        <f t="shared" ca="1" si="3"/>
        <v/>
      </c>
      <c r="B213" s="395">
        <f>+LATrackerALL!A214</f>
        <v>42942</v>
      </c>
      <c r="C213" s="396">
        <f>+LATrackerALL!E214</f>
        <v>4</v>
      </c>
      <c r="D213" s="397">
        <f>+LATrackerALL!C214</f>
        <v>0</v>
      </c>
      <c r="E213" s="398">
        <f>+LATrackerALL!D214</f>
        <v>1.3333333333333333</v>
      </c>
      <c r="F213" s="391"/>
      <c r="G213" s="391"/>
      <c r="H213" s="392"/>
      <c r="I213" s="391"/>
      <c r="J213" s="391"/>
      <c r="K213" s="392"/>
      <c r="L213" s="391"/>
      <c r="M213" s="391"/>
      <c r="N213" s="391"/>
    </row>
    <row r="214" spans="1:14" ht="16.55" hidden="1" customHeight="1" thickBot="1" x14ac:dyDescent="0.35">
      <c r="A214" s="378" t="str">
        <f t="shared" ca="1" si="3"/>
        <v/>
      </c>
      <c r="B214" s="395">
        <f>+LATrackerALL!A215</f>
        <v>42943</v>
      </c>
      <c r="C214" s="396">
        <f>+LATrackerALL!E215</f>
        <v>4</v>
      </c>
      <c r="D214" s="397">
        <f>+LATrackerALL!C215</f>
        <v>0</v>
      </c>
      <c r="E214" s="398">
        <f>+LATrackerALL!D215</f>
        <v>1.3333333333333333</v>
      </c>
      <c r="F214" s="391"/>
      <c r="G214" s="391"/>
      <c r="H214" s="392"/>
      <c r="I214" s="391"/>
      <c r="J214" s="391"/>
      <c r="K214" s="392"/>
      <c r="L214" s="391"/>
      <c r="M214" s="391"/>
      <c r="N214" s="391"/>
    </row>
    <row r="215" spans="1:14" ht="16.55" hidden="1" customHeight="1" thickBot="1" x14ac:dyDescent="0.35">
      <c r="A215" s="378" t="str">
        <f t="shared" ca="1" si="3"/>
        <v/>
      </c>
      <c r="B215" s="395">
        <f>+LATrackerALL!A216</f>
        <v>42944</v>
      </c>
      <c r="C215" s="396">
        <f>+LATrackerALL!E216</f>
        <v>4</v>
      </c>
      <c r="D215" s="397">
        <f>+LATrackerALL!C216</f>
        <v>0</v>
      </c>
      <c r="E215" s="398">
        <f>+LATrackerALL!D216</f>
        <v>1.3333333333333333</v>
      </c>
      <c r="F215" s="391"/>
      <c r="G215" s="391"/>
      <c r="H215" s="392"/>
      <c r="I215" s="391"/>
      <c r="J215" s="391"/>
      <c r="K215" s="392"/>
      <c r="L215" s="391"/>
      <c r="M215" s="391"/>
      <c r="N215" s="391"/>
    </row>
    <row r="216" spans="1:14" ht="16.55" hidden="1" customHeight="1" thickBot="1" x14ac:dyDescent="0.35">
      <c r="A216" s="378" t="str">
        <f t="shared" ca="1" si="3"/>
        <v/>
      </c>
      <c r="B216" s="395">
        <f>+LATrackerALL!A217</f>
        <v>42945</v>
      </c>
      <c r="C216" s="396">
        <f>+LATrackerALL!E217</f>
        <v>4</v>
      </c>
      <c r="D216" s="397">
        <f>+LATrackerALL!C217</f>
        <v>0</v>
      </c>
      <c r="E216" s="398">
        <f>+LATrackerALL!D217</f>
        <v>1.3333333333333333</v>
      </c>
      <c r="F216" s="391"/>
      <c r="G216" s="391"/>
      <c r="H216" s="392"/>
      <c r="I216" s="391"/>
      <c r="J216" s="391"/>
      <c r="K216" s="392"/>
      <c r="L216" s="391"/>
      <c r="M216" s="391"/>
      <c r="N216" s="391"/>
    </row>
    <row r="217" spans="1:14" ht="16.55" hidden="1" customHeight="1" thickBot="1" x14ac:dyDescent="0.35">
      <c r="A217" s="378" t="str">
        <f t="shared" ca="1" si="3"/>
        <v/>
      </c>
      <c r="B217" s="395">
        <f>+LATrackerALL!A218</f>
        <v>42946</v>
      </c>
      <c r="C217" s="396">
        <f>+LATrackerALL!E218</f>
        <v>4</v>
      </c>
      <c r="D217" s="397">
        <f>+LATrackerALL!C218</f>
        <v>0</v>
      </c>
      <c r="E217" s="398">
        <f>+LATrackerALL!D218</f>
        <v>1.3333333333333333</v>
      </c>
      <c r="F217" s="391"/>
      <c r="G217" s="391"/>
      <c r="H217" s="392"/>
      <c r="I217" s="391"/>
      <c r="J217" s="391"/>
      <c r="K217" s="392"/>
      <c r="L217" s="391"/>
      <c r="M217" s="391"/>
      <c r="N217" s="391"/>
    </row>
    <row r="218" spans="1:14" ht="16.55" hidden="1" customHeight="1" thickBot="1" x14ac:dyDescent="0.35">
      <c r="A218" s="378" t="str">
        <f t="shared" ca="1" si="3"/>
        <v/>
      </c>
      <c r="B218" s="395">
        <f>+LATrackerALL!A219</f>
        <v>42947</v>
      </c>
      <c r="C218" s="396">
        <f>+LATrackerALL!E219</f>
        <v>4</v>
      </c>
      <c r="D218" s="397">
        <f>+LATrackerALL!C219</f>
        <v>0</v>
      </c>
      <c r="E218" s="398">
        <f>+LATrackerALL!D219</f>
        <v>1.3333333333333333</v>
      </c>
      <c r="F218" s="391"/>
      <c r="G218" s="391"/>
      <c r="H218" s="392"/>
      <c r="I218" s="391"/>
      <c r="J218" s="391"/>
      <c r="K218" s="392"/>
      <c r="L218" s="391"/>
      <c r="M218" s="391"/>
      <c r="N218" s="391"/>
    </row>
    <row r="219" spans="1:14" ht="16.55" hidden="1" customHeight="1" thickBot="1" x14ac:dyDescent="0.35">
      <c r="A219" s="378" t="str">
        <f t="shared" ca="1" si="3"/>
        <v/>
      </c>
      <c r="B219" s="395">
        <f>+LATrackerALL!A220</f>
        <v>42948</v>
      </c>
      <c r="C219" s="396">
        <f>+LATrackerALL!E220</f>
        <v>4</v>
      </c>
      <c r="D219" s="397">
        <f>+LATrackerALL!C220</f>
        <v>0</v>
      </c>
      <c r="E219" s="398">
        <f>+LATrackerALL!D220</f>
        <v>1.3333333333333333</v>
      </c>
      <c r="F219" s="391"/>
      <c r="G219" s="391"/>
      <c r="H219" s="392"/>
      <c r="I219" s="391"/>
      <c r="J219" s="391"/>
      <c r="K219" s="392"/>
      <c r="L219" s="391"/>
      <c r="M219" s="391"/>
      <c r="N219" s="391"/>
    </row>
    <row r="220" spans="1:14" ht="16.55" hidden="1" customHeight="1" thickBot="1" x14ac:dyDescent="0.35">
      <c r="A220" s="378" t="str">
        <f t="shared" ca="1" si="3"/>
        <v/>
      </c>
      <c r="B220" s="395">
        <f>+LATrackerALL!A221</f>
        <v>42949</v>
      </c>
      <c r="C220" s="396">
        <f>+LATrackerALL!E221</f>
        <v>4</v>
      </c>
      <c r="D220" s="397">
        <f>+LATrackerALL!C221</f>
        <v>0</v>
      </c>
      <c r="E220" s="398">
        <f>+LATrackerALL!D221</f>
        <v>1.3333333333333333</v>
      </c>
      <c r="F220" s="391"/>
      <c r="G220" s="391"/>
      <c r="H220" s="392"/>
      <c r="I220" s="391"/>
      <c r="J220" s="391"/>
      <c r="K220" s="392"/>
      <c r="L220" s="391"/>
      <c r="M220" s="391"/>
      <c r="N220" s="391"/>
    </row>
    <row r="221" spans="1:14" ht="16.55" hidden="1" customHeight="1" thickBot="1" x14ac:dyDescent="0.35">
      <c r="A221" s="378" t="str">
        <f t="shared" ca="1" si="3"/>
        <v/>
      </c>
      <c r="B221" s="395">
        <f>+LATrackerALL!A222</f>
        <v>42950</v>
      </c>
      <c r="C221" s="396">
        <f>+LATrackerALL!E222</f>
        <v>4</v>
      </c>
      <c r="D221" s="397">
        <f>+LATrackerALL!C222</f>
        <v>0</v>
      </c>
      <c r="E221" s="398">
        <f>+LATrackerALL!D222</f>
        <v>1.3333333333333333</v>
      </c>
      <c r="F221" s="391"/>
      <c r="G221" s="391"/>
      <c r="H221" s="392"/>
      <c r="I221" s="391"/>
      <c r="J221" s="391"/>
      <c r="K221" s="392"/>
      <c r="L221" s="391"/>
      <c r="M221" s="391"/>
      <c r="N221" s="391"/>
    </row>
    <row r="222" spans="1:14" ht="16.55" hidden="1" customHeight="1" thickBot="1" x14ac:dyDescent="0.35">
      <c r="A222" s="378" t="str">
        <f t="shared" ca="1" si="3"/>
        <v/>
      </c>
      <c r="B222" s="395">
        <f>+LATrackerALL!A223</f>
        <v>42951</v>
      </c>
      <c r="C222" s="396">
        <f>+LATrackerALL!E223</f>
        <v>4</v>
      </c>
      <c r="D222" s="397">
        <f>+LATrackerALL!C223</f>
        <v>0</v>
      </c>
      <c r="E222" s="398">
        <f>+LATrackerALL!D223</f>
        <v>1.3333333333333333</v>
      </c>
      <c r="F222" s="391"/>
      <c r="G222" s="391"/>
      <c r="H222" s="392"/>
      <c r="I222" s="391"/>
      <c r="J222" s="391"/>
      <c r="K222" s="392"/>
      <c r="L222" s="391"/>
      <c r="M222" s="391"/>
      <c r="N222" s="391"/>
    </row>
    <row r="223" spans="1:14" ht="16.55" hidden="1" customHeight="1" thickBot="1" x14ac:dyDescent="0.35">
      <c r="A223" s="378" t="str">
        <f t="shared" ca="1" si="3"/>
        <v/>
      </c>
      <c r="B223" s="395">
        <f>+LATrackerALL!A224</f>
        <v>42952</v>
      </c>
      <c r="C223" s="396">
        <f>+LATrackerALL!E224</f>
        <v>4</v>
      </c>
      <c r="D223" s="397">
        <f>+LATrackerALL!C224</f>
        <v>0</v>
      </c>
      <c r="E223" s="398">
        <f>+LATrackerALL!D224</f>
        <v>1.3333333333333333</v>
      </c>
      <c r="F223" s="391"/>
      <c r="G223" s="391"/>
      <c r="H223" s="392"/>
      <c r="I223" s="391"/>
      <c r="J223" s="391"/>
      <c r="K223" s="392"/>
      <c r="L223" s="391"/>
      <c r="M223" s="391"/>
      <c r="N223" s="391"/>
    </row>
    <row r="224" spans="1:14" ht="16.55" hidden="1" customHeight="1" thickBot="1" x14ac:dyDescent="0.35">
      <c r="A224" s="378" t="str">
        <f t="shared" ca="1" si="3"/>
        <v/>
      </c>
      <c r="B224" s="395">
        <f>+LATrackerALL!A225</f>
        <v>42953</v>
      </c>
      <c r="C224" s="396">
        <f>+LATrackerALL!E225</f>
        <v>4</v>
      </c>
      <c r="D224" s="397">
        <f>+LATrackerALL!C225</f>
        <v>0</v>
      </c>
      <c r="E224" s="398">
        <f>+LATrackerALL!D225</f>
        <v>1.3333333333333333</v>
      </c>
      <c r="F224" s="391"/>
      <c r="G224" s="391"/>
      <c r="H224" s="392"/>
      <c r="I224" s="391"/>
      <c r="J224" s="391"/>
      <c r="K224" s="392"/>
      <c r="L224" s="391"/>
      <c r="M224" s="391"/>
      <c r="N224" s="391"/>
    </row>
    <row r="225" spans="1:14" ht="16.55" hidden="1" customHeight="1" thickBot="1" x14ac:dyDescent="0.35">
      <c r="A225" s="378" t="str">
        <f t="shared" ca="1" si="3"/>
        <v/>
      </c>
      <c r="B225" s="395">
        <f>+LATrackerALL!A226</f>
        <v>42954</v>
      </c>
      <c r="C225" s="396">
        <f>+LATrackerALL!E226</f>
        <v>4</v>
      </c>
      <c r="D225" s="397">
        <f>+LATrackerALL!C226</f>
        <v>0</v>
      </c>
      <c r="E225" s="398">
        <f>+LATrackerALL!D226</f>
        <v>1.3333333333333333</v>
      </c>
      <c r="F225" s="391"/>
      <c r="G225" s="391"/>
      <c r="H225" s="392"/>
      <c r="I225" s="391"/>
      <c r="J225" s="391"/>
      <c r="K225" s="392"/>
      <c r="L225" s="391"/>
      <c r="M225" s="391"/>
      <c r="N225" s="391"/>
    </row>
    <row r="226" spans="1:14" ht="16.55" hidden="1" customHeight="1" thickBot="1" x14ac:dyDescent="0.35">
      <c r="A226" s="378" t="str">
        <f t="shared" ca="1" si="3"/>
        <v/>
      </c>
      <c r="B226" s="395">
        <f>+LATrackerALL!A227</f>
        <v>42955</v>
      </c>
      <c r="C226" s="396">
        <f>+LATrackerALL!E227</f>
        <v>4</v>
      </c>
      <c r="D226" s="397">
        <f>+LATrackerALL!C227</f>
        <v>0</v>
      </c>
      <c r="E226" s="398">
        <f>+LATrackerALL!D227</f>
        <v>1.3333333333333333</v>
      </c>
      <c r="F226" s="391"/>
      <c r="G226" s="391"/>
      <c r="H226" s="392"/>
      <c r="I226" s="391"/>
      <c r="J226" s="391"/>
      <c r="K226" s="392"/>
      <c r="L226" s="391"/>
      <c r="M226" s="391"/>
      <c r="N226" s="391"/>
    </row>
    <row r="227" spans="1:14" ht="16.55" hidden="1" customHeight="1" thickBot="1" x14ac:dyDescent="0.35">
      <c r="A227" s="378" t="str">
        <f t="shared" ca="1" si="3"/>
        <v/>
      </c>
      <c r="B227" s="395">
        <f>+LATrackerALL!A228</f>
        <v>42956</v>
      </c>
      <c r="C227" s="396">
        <f>+LATrackerALL!E228</f>
        <v>4</v>
      </c>
      <c r="D227" s="397">
        <f>+LATrackerALL!C228</f>
        <v>0</v>
      </c>
      <c r="E227" s="398">
        <f>+LATrackerALL!D228</f>
        <v>1.3333333333333333</v>
      </c>
      <c r="F227" s="391"/>
      <c r="G227" s="391"/>
      <c r="H227" s="392"/>
      <c r="I227" s="391"/>
      <c r="J227" s="391"/>
      <c r="K227" s="392"/>
      <c r="L227" s="391"/>
      <c r="M227" s="391"/>
      <c r="N227" s="391"/>
    </row>
    <row r="228" spans="1:14" ht="16.55" hidden="1" customHeight="1" thickBot="1" x14ac:dyDescent="0.35">
      <c r="A228" s="378" t="str">
        <f t="shared" ca="1" si="3"/>
        <v/>
      </c>
      <c r="B228" s="395">
        <f>+LATrackerALL!A229</f>
        <v>42957</v>
      </c>
      <c r="C228" s="396">
        <f>+LATrackerALL!E229</f>
        <v>4</v>
      </c>
      <c r="D228" s="397">
        <f>+LATrackerALL!C229</f>
        <v>0</v>
      </c>
      <c r="E228" s="398">
        <f>+LATrackerALL!D229</f>
        <v>1.3333333333333333</v>
      </c>
      <c r="F228" s="391"/>
      <c r="G228" s="391"/>
      <c r="H228" s="392"/>
      <c r="I228" s="391"/>
      <c r="J228" s="391"/>
      <c r="K228" s="392"/>
      <c r="L228" s="391"/>
      <c r="M228" s="391"/>
      <c r="N228" s="391"/>
    </row>
    <row r="229" spans="1:14" ht="16.55" hidden="1" customHeight="1" thickBot="1" x14ac:dyDescent="0.35">
      <c r="A229" s="378" t="str">
        <f t="shared" ca="1" si="3"/>
        <v/>
      </c>
      <c r="B229" s="395">
        <f>+LATrackerALL!A230</f>
        <v>42958</v>
      </c>
      <c r="C229" s="396">
        <f>+LATrackerALL!E230</f>
        <v>4</v>
      </c>
      <c r="D229" s="397">
        <f>+LATrackerALL!C230</f>
        <v>0</v>
      </c>
      <c r="E229" s="398">
        <f>+LATrackerALL!D230</f>
        <v>1.3333333333333333</v>
      </c>
      <c r="F229" s="391"/>
      <c r="G229" s="391"/>
      <c r="H229" s="392"/>
      <c r="I229" s="391"/>
      <c r="J229" s="391"/>
      <c r="K229" s="392"/>
      <c r="L229" s="391"/>
      <c r="M229" s="391"/>
      <c r="N229" s="391"/>
    </row>
    <row r="230" spans="1:14" ht="16.55" hidden="1" customHeight="1" thickBot="1" x14ac:dyDescent="0.35">
      <c r="A230" s="378" t="str">
        <f t="shared" ca="1" si="3"/>
        <v/>
      </c>
      <c r="B230" s="395">
        <f>+LATrackerALL!A231</f>
        <v>42959</v>
      </c>
      <c r="C230" s="396">
        <f>+LATrackerALL!E231</f>
        <v>4</v>
      </c>
      <c r="D230" s="397">
        <f>+LATrackerALL!C231</f>
        <v>0</v>
      </c>
      <c r="E230" s="398">
        <f>+LATrackerALL!D231</f>
        <v>1.3333333333333333</v>
      </c>
      <c r="F230" s="391"/>
      <c r="G230" s="391"/>
      <c r="H230" s="392"/>
      <c r="I230" s="391"/>
      <c r="J230" s="391"/>
      <c r="K230" s="392"/>
      <c r="L230" s="391"/>
      <c r="M230" s="391"/>
      <c r="N230" s="391"/>
    </row>
    <row r="231" spans="1:14" ht="16.55" hidden="1" customHeight="1" thickBot="1" x14ac:dyDescent="0.35">
      <c r="A231" s="378" t="str">
        <f t="shared" ca="1" si="3"/>
        <v/>
      </c>
      <c r="B231" s="395">
        <f>+LATrackerALL!A232</f>
        <v>42960</v>
      </c>
      <c r="C231" s="396">
        <f>+LATrackerALL!E232</f>
        <v>4</v>
      </c>
      <c r="D231" s="397">
        <f>+LATrackerALL!C232</f>
        <v>0</v>
      </c>
      <c r="E231" s="398">
        <f>+LATrackerALL!D232</f>
        <v>1.3333333333333333</v>
      </c>
      <c r="F231" s="391"/>
      <c r="G231" s="391"/>
      <c r="H231" s="392"/>
      <c r="I231" s="391"/>
      <c r="J231" s="391"/>
      <c r="K231" s="392"/>
      <c r="L231" s="391"/>
      <c r="M231" s="391"/>
      <c r="N231" s="391"/>
    </row>
    <row r="232" spans="1:14" ht="16.55" hidden="1" customHeight="1" thickBot="1" x14ac:dyDescent="0.35">
      <c r="A232" s="378" t="str">
        <f t="shared" ca="1" si="3"/>
        <v/>
      </c>
      <c r="B232" s="395">
        <f>+LATrackerALL!A233</f>
        <v>42961</v>
      </c>
      <c r="C232" s="396">
        <f>+LATrackerALL!E233</f>
        <v>4</v>
      </c>
      <c r="D232" s="397">
        <f>+LATrackerALL!C233</f>
        <v>0</v>
      </c>
      <c r="E232" s="398">
        <f>+LATrackerALL!D233</f>
        <v>1.3333333333333333</v>
      </c>
      <c r="F232" s="391"/>
      <c r="G232" s="391"/>
      <c r="H232" s="392"/>
      <c r="I232" s="391"/>
      <c r="J232" s="391"/>
      <c r="K232" s="392"/>
      <c r="L232" s="391"/>
      <c r="M232" s="391"/>
      <c r="N232" s="391"/>
    </row>
    <row r="233" spans="1:14" ht="16.55" hidden="1" customHeight="1" thickBot="1" x14ac:dyDescent="0.35">
      <c r="A233" s="378" t="str">
        <f t="shared" ca="1" si="3"/>
        <v/>
      </c>
      <c r="B233" s="395">
        <f>+LATrackerALL!A234</f>
        <v>42962</v>
      </c>
      <c r="C233" s="396">
        <f>+LATrackerALL!E234</f>
        <v>4</v>
      </c>
      <c r="D233" s="397">
        <f>+LATrackerALL!C234</f>
        <v>0</v>
      </c>
      <c r="E233" s="398">
        <f>+LATrackerALL!D234</f>
        <v>1.3333333333333333</v>
      </c>
      <c r="F233" s="391"/>
      <c r="G233" s="391"/>
      <c r="H233" s="392"/>
      <c r="I233" s="391"/>
      <c r="J233" s="391"/>
      <c r="K233" s="392"/>
      <c r="L233" s="391"/>
      <c r="M233" s="391"/>
      <c r="N233" s="391"/>
    </row>
    <row r="234" spans="1:14" ht="16.55" hidden="1" customHeight="1" thickBot="1" x14ac:dyDescent="0.35">
      <c r="A234" s="378" t="str">
        <f t="shared" ca="1" si="3"/>
        <v/>
      </c>
      <c r="B234" s="395">
        <f>+LATrackerALL!A235</f>
        <v>42963</v>
      </c>
      <c r="C234" s="396">
        <f>+LATrackerALL!E235</f>
        <v>4</v>
      </c>
      <c r="D234" s="397">
        <f>+LATrackerALL!C235</f>
        <v>0</v>
      </c>
      <c r="E234" s="398">
        <f>+LATrackerALL!D235</f>
        <v>1.3333333333333333</v>
      </c>
      <c r="F234" s="391"/>
      <c r="G234" s="391"/>
      <c r="H234" s="392"/>
      <c r="I234" s="391"/>
      <c r="J234" s="391"/>
      <c r="K234" s="392"/>
      <c r="L234" s="391"/>
      <c r="M234" s="391"/>
      <c r="N234" s="391"/>
    </row>
    <row r="235" spans="1:14" ht="16.55" hidden="1" customHeight="1" thickBot="1" x14ac:dyDescent="0.35">
      <c r="A235" s="378" t="str">
        <f t="shared" ca="1" si="3"/>
        <v/>
      </c>
      <c r="B235" s="395">
        <f>+LATrackerALL!A236</f>
        <v>42964</v>
      </c>
      <c r="C235" s="396">
        <f>+LATrackerALL!E236</f>
        <v>4</v>
      </c>
      <c r="D235" s="397">
        <f>+LATrackerALL!C236</f>
        <v>0</v>
      </c>
      <c r="E235" s="398">
        <f>+LATrackerALL!D236</f>
        <v>1.3333333333333333</v>
      </c>
      <c r="F235" s="391"/>
      <c r="G235" s="391"/>
      <c r="H235" s="392"/>
      <c r="I235" s="391"/>
      <c r="J235" s="391"/>
      <c r="K235" s="392"/>
      <c r="L235" s="391"/>
      <c r="M235" s="391"/>
      <c r="N235" s="391"/>
    </row>
    <row r="236" spans="1:14" ht="16.55" hidden="1" customHeight="1" thickBot="1" x14ac:dyDescent="0.35">
      <c r="A236" s="378" t="str">
        <f t="shared" ca="1" si="3"/>
        <v/>
      </c>
      <c r="B236" s="395">
        <f>+LATrackerALL!A237</f>
        <v>42965</v>
      </c>
      <c r="C236" s="396">
        <f>+LATrackerALL!E237</f>
        <v>4</v>
      </c>
      <c r="D236" s="397">
        <f>+LATrackerALL!C237</f>
        <v>0</v>
      </c>
      <c r="E236" s="398">
        <f>+LATrackerALL!D237</f>
        <v>1.3333333333333333</v>
      </c>
      <c r="F236" s="391"/>
      <c r="G236" s="391"/>
      <c r="H236" s="392"/>
      <c r="I236" s="391"/>
      <c r="J236" s="391"/>
      <c r="K236" s="392"/>
      <c r="L236" s="391"/>
      <c r="M236" s="391"/>
      <c r="N236" s="391"/>
    </row>
    <row r="237" spans="1:14" ht="16.55" hidden="1" customHeight="1" thickBot="1" x14ac:dyDescent="0.35">
      <c r="A237" s="378" t="str">
        <f t="shared" ca="1" si="3"/>
        <v/>
      </c>
      <c r="B237" s="395">
        <f>+LATrackerALL!A238</f>
        <v>42966</v>
      </c>
      <c r="C237" s="396">
        <f>+LATrackerALL!E238</f>
        <v>4</v>
      </c>
      <c r="D237" s="397">
        <f>+LATrackerALL!C238</f>
        <v>0</v>
      </c>
      <c r="E237" s="398">
        <f>+LATrackerALL!D238</f>
        <v>1.3333333333333333</v>
      </c>
      <c r="F237" s="391"/>
      <c r="G237" s="391"/>
      <c r="H237" s="392"/>
      <c r="I237" s="391"/>
      <c r="J237" s="391"/>
      <c r="K237" s="392"/>
      <c r="L237" s="391"/>
      <c r="M237" s="391"/>
      <c r="N237" s="391"/>
    </row>
    <row r="238" spans="1:14" ht="16.55" hidden="1" customHeight="1" thickBot="1" x14ac:dyDescent="0.35">
      <c r="A238" s="378" t="str">
        <f t="shared" ca="1" si="3"/>
        <v/>
      </c>
      <c r="B238" s="395">
        <f>+LATrackerALL!A239</f>
        <v>42967</v>
      </c>
      <c r="C238" s="396">
        <f>+LATrackerALL!E239</f>
        <v>4</v>
      </c>
      <c r="D238" s="397">
        <f>+LATrackerALL!C239</f>
        <v>0</v>
      </c>
      <c r="E238" s="398">
        <f>+LATrackerALL!D239</f>
        <v>1.3333333333333333</v>
      </c>
      <c r="F238" s="391"/>
      <c r="G238" s="391"/>
      <c r="H238" s="392"/>
      <c r="I238" s="391"/>
      <c r="J238" s="391"/>
      <c r="K238" s="392"/>
      <c r="L238" s="391"/>
      <c r="M238" s="391"/>
      <c r="N238" s="391"/>
    </row>
    <row r="239" spans="1:14" ht="16.55" hidden="1" customHeight="1" thickBot="1" x14ac:dyDescent="0.35">
      <c r="A239" s="378" t="str">
        <f t="shared" ca="1" si="3"/>
        <v/>
      </c>
      <c r="B239" s="395">
        <f>+LATrackerALL!A240</f>
        <v>42968</v>
      </c>
      <c r="C239" s="396">
        <f>+LATrackerALL!E240</f>
        <v>4</v>
      </c>
      <c r="D239" s="397">
        <f>+LATrackerALL!C240</f>
        <v>0</v>
      </c>
      <c r="E239" s="398">
        <f>+LATrackerALL!D240</f>
        <v>1.3333333333333333</v>
      </c>
      <c r="F239" s="391"/>
      <c r="G239" s="391"/>
      <c r="H239" s="392"/>
      <c r="I239" s="391"/>
      <c r="J239" s="391"/>
      <c r="K239" s="392"/>
      <c r="L239" s="391"/>
      <c r="M239" s="391"/>
      <c r="N239" s="391"/>
    </row>
    <row r="240" spans="1:14" ht="16.55" hidden="1" customHeight="1" thickBot="1" x14ac:dyDescent="0.35">
      <c r="A240" s="378" t="str">
        <f t="shared" ca="1" si="3"/>
        <v/>
      </c>
      <c r="B240" s="395">
        <f>+LATrackerALL!A241</f>
        <v>42969</v>
      </c>
      <c r="C240" s="396">
        <f>+LATrackerALL!E241</f>
        <v>4</v>
      </c>
      <c r="D240" s="397">
        <f>+LATrackerALL!C241</f>
        <v>0</v>
      </c>
      <c r="E240" s="398">
        <f>+LATrackerALL!D241</f>
        <v>1.3333333333333333</v>
      </c>
      <c r="F240" s="391"/>
      <c r="G240" s="391"/>
      <c r="H240" s="392"/>
      <c r="I240" s="391"/>
      <c r="J240" s="391"/>
      <c r="K240" s="392"/>
      <c r="L240" s="391"/>
      <c r="M240" s="391"/>
      <c r="N240" s="391"/>
    </row>
    <row r="241" spans="1:14" ht="16.55" hidden="1" customHeight="1" thickBot="1" x14ac:dyDescent="0.35">
      <c r="A241" s="378" t="str">
        <f t="shared" ca="1" si="3"/>
        <v/>
      </c>
      <c r="B241" s="395">
        <f>+LATrackerALL!A242</f>
        <v>42970</v>
      </c>
      <c r="C241" s="396">
        <f>+LATrackerALL!E242</f>
        <v>4</v>
      </c>
      <c r="D241" s="397">
        <f>+LATrackerALL!C242</f>
        <v>0</v>
      </c>
      <c r="E241" s="398">
        <f>+LATrackerALL!D242</f>
        <v>1.3333333333333333</v>
      </c>
      <c r="F241" s="391"/>
      <c r="G241" s="391"/>
      <c r="H241" s="392"/>
      <c r="I241" s="391"/>
      <c r="J241" s="391"/>
      <c r="K241" s="392"/>
      <c r="L241" s="391"/>
      <c r="M241" s="391"/>
      <c r="N241" s="391"/>
    </row>
    <row r="242" spans="1:14" ht="16.55" hidden="1" customHeight="1" thickBot="1" x14ac:dyDescent="0.35">
      <c r="A242" s="378" t="str">
        <f t="shared" ca="1" si="3"/>
        <v/>
      </c>
      <c r="B242" s="395">
        <f>+LATrackerALL!A243</f>
        <v>42971</v>
      </c>
      <c r="C242" s="396">
        <f>+LATrackerALL!E243</f>
        <v>4</v>
      </c>
      <c r="D242" s="397">
        <f>+LATrackerALL!C243</f>
        <v>0</v>
      </c>
      <c r="E242" s="398">
        <f>+LATrackerALL!D243</f>
        <v>1.3333333333333333</v>
      </c>
      <c r="F242" s="391"/>
      <c r="G242" s="391"/>
      <c r="H242" s="392"/>
      <c r="I242" s="391"/>
      <c r="J242" s="391"/>
      <c r="K242" s="392"/>
      <c r="L242" s="391"/>
      <c r="M242" s="391"/>
      <c r="N242" s="391"/>
    </row>
    <row r="243" spans="1:14" ht="16.55" hidden="1" customHeight="1" thickBot="1" x14ac:dyDescent="0.35">
      <c r="A243" s="378" t="str">
        <f t="shared" ca="1" si="3"/>
        <v/>
      </c>
      <c r="B243" s="395">
        <f>+LATrackerALL!A244</f>
        <v>42972</v>
      </c>
      <c r="C243" s="396">
        <f>+LATrackerALL!E244</f>
        <v>4</v>
      </c>
      <c r="D243" s="397">
        <f>+LATrackerALL!C244</f>
        <v>0</v>
      </c>
      <c r="E243" s="398">
        <f>+LATrackerALL!D244</f>
        <v>1.3333333333333333</v>
      </c>
      <c r="F243" s="391"/>
      <c r="G243" s="391"/>
      <c r="H243" s="392"/>
      <c r="I243" s="391"/>
      <c r="J243" s="391"/>
      <c r="K243" s="392"/>
      <c r="L243" s="391"/>
      <c r="M243" s="391"/>
      <c r="N243" s="391"/>
    </row>
    <row r="244" spans="1:14" ht="16.55" hidden="1" customHeight="1" thickBot="1" x14ac:dyDescent="0.35">
      <c r="A244" s="378" t="str">
        <f t="shared" ca="1" si="3"/>
        <v/>
      </c>
      <c r="B244" s="395">
        <f>+LATrackerALL!A245</f>
        <v>42973</v>
      </c>
      <c r="C244" s="396">
        <f>+LATrackerALL!E245</f>
        <v>4</v>
      </c>
      <c r="D244" s="397">
        <f>+LATrackerALL!C245</f>
        <v>0</v>
      </c>
      <c r="E244" s="398">
        <f>+LATrackerALL!D245</f>
        <v>1.3333333333333333</v>
      </c>
      <c r="F244" s="391"/>
      <c r="G244" s="391"/>
      <c r="H244" s="392"/>
      <c r="I244" s="391"/>
      <c r="J244" s="391"/>
      <c r="K244" s="392"/>
      <c r="L244" s="391"/>
      <c r="M244" s="391"/>
      <c r="N244" s="391"/>
    </row>
    <row r="245" spans="1:14" ht="16.55" hidden="1" customHeight="1" thickBot="1" x14ac:dyDescent="0.35">
      <c r="A245" s="378" t="str">
        <f t="shared" ca="1" si="3"/>
        <v/>
      </c>
      <c r="B245" s="395">
        <f>+LATrackerALL!A246</f>
        <v>42974</v>
      </c>
      <c r="C245" s="396">
        <f>+LATrackerALL!E246</f>
        <v>4</v>
      </c>
      <c r="D245" s="397">
        <f>+LATrackerALL!C246</f>
        <v>0</v>
      </c>
      <c r="E245" s="398">
        <f>+LATrackerALL!D246</f>
        <v>1.3333333333333333</v>
      </c>
      <c r="F245" s="391"/>
      <c r="G245" s="391"/>
      <c r="H245" s="392"/>
      <c r="I245" s="391"/>
      <c r="J245" s="391"/>
      <c r="K245" s="392"/>
      <c r="L245" s="391"/>
      <c r="M245" s="391"/>
      <c r="N245" s="391"/>
    </row>
    <row r="246" spans="1:14" ht="16.55" hidden="1" customHeight="1" thickBot="1" x14ac:dyDescent="0.35">
      <c r="A246" s="378" t="str">
        <f t="shared" ca="1" si="3"/>
        <v/>
      </c>
      <c r="B246" s="395">
        <f>+LATrackerALL!A247</f>
        <v>42975</v>
      </c>
      <c r="C246" s="396">
        <f>+LATrackerALL!E247</f>
        <v>4</v>
      </c>
      <c r="D246" s="397">
        <f>+LATrackerALL!C247</f>
        <v>0</v>
      </c>
      <c r="E246" s="398">
        <f>+LATrackerALL!D247</f>
        <v>1.3333333333333333</v>
      </c>
      <c r="F246" s="391"/>
      <c r="G246" s="391"/>
      <c r="H246" s="392"/>
      <c r="I246" s="391"/>
      <c r="J246" s="391"/>
      <c r="K246" s="392"/>
      <c r="L246" s="391"/>
      <c r="M246" s="391"/>
      <c r="N246" s="391"/>
    </row>
    <row r="247" spans="1:14" ht="16.55" customHeight="1" thickBot="1" x14ac:dyDescent="0.35">
      <c r="A247" s="378" t="str">
        <f t="shared" ca="1" si="3"/>
        <v/>
      </c>
      <c r="B247" s="395">
        <f>+LATrackerALL!A248</f>
        <v>42976</v>
      </c>
      <c r="C247" s="396">
        <f>+LATrackerALL!E248</f>
        <v>4</v>
      </c>
      <c r="D247" s="397">
        <f>+LATrackerALL!C248</f>
        <v>0</v>
      </c>
      <c r="E247" s="398">
        <f>+LATrackerALL!D248</f>
        <v>1.3333333333333333</v>
      </c>
      <c r="F247" s="391"/>
      <c r="G247" s="391"/>
      <c r="H247" s="392"/>
      <c r="I247" s="391"/>
      <c r="J247" s="391"/>
      <c r="K247" s="392"/>
      <c r="L247" s="391"/>
      <c r="M247" s="391"/>
      <c r="N247" s="391"/>
    </row>
    <row r="248" spans="1:14" ht="16.55" hidden="1" customHeight="1" thickBot="1" x14ac:dyDescent="0.35">
      <c r="A248" s="378" t="str">
        <f t="shared" ca="1" si="3"/>
        <v/>
      </c>
      <c r="B248" s="395">
        <f>+LATrackerALL!A249</f>
        <v>42977</v>
      </c>
      <c r="C248" s="396">
        <f>+LATrackerALL!E249</f>
        <v>4</v>
      </c>
      <c r="D248" s="397">
        <f>+LATrackerALL!C249</f>
        <v>0</v>
      </c>
      <c r="E248" s="398">
        <f>+LATrackerALL!D249</f>
        <v>1.3333333333333333</v>
      </c>
      <c r="F248" s="391"/>
      <c r="G248" s="391"/>
      <c r="H248" s="392"/>
      <c r="I248" s="391"/>
      <c r="J248" s="391"/>
      <c r="K248" s="392"/>
      <c r="L248" s="391"/>
      <c r="M248" s="391"/>
      <c r="N248" s="391"/>
    </row>
    <row r="249" spans="1:14" ht="16.55" hidden="1" customHeight="1" thickBot="1" x14ac:dyDescent="0.35">
      <c r="A249" s="378" t="str">
        <f t="shared" ca="1" si="3"/>
        <v/>
      </c>
      <c r="B249" s="395">
        <f>+LATrackerALL!A250</f>
        <v>42978</v>
      </c>
      <c r="C249" s="396">
        <f>+LATrackerALL!E250</f>
        <v>4</v>
      </c>
      <c r="D249" s="397">
        <f>+LATrackerALL!C250</f>
        <v>0</v>
      </c>
      <c r="E249" s="398">
        <f>+LATrackerALL!D250</f>
        <v>1.3333333333333333</v>
      </c>
      <c r="F249" s="391"/>
      <c r="G249" s="391"/>
      <c r="H249" s="392"/>
      <c r="I249" s="391"/>
      <c r="J249" s="391"/>
      <c r="K249" s="392"/>
      <c r="L249" s="391"/>
      <c r="M249" s="391"/>
      <c r="N249" s="391"/>
    </row>
    <row r="250" spans="1:14" ht="16.55" hidden="1" customHeight="1" thickBot="1" x14ac:dyDescent="0.35">
      <c r="A250" s="378" t="str">
        <f t="shared" ca="1" si="3"/>
        <v/>
      </c>
      <c r="B250" s="395">
        <f>+LATrackerALL!A251</f>
        <v>42979</v>
      </c>
      <c r="C250" s="396">
        <f>+LATrackerALL!E251</f>
        <v>4</v>
      </c>
      <c r="D250" s="397">
        <f>+LATrackerALL!C251</f>
        <v>0</v>
      </c>
      <c r="E250" s="398">
        <f>+LATrackerALL!D251</f>
        <v>1.3333333333333333</v>
      </c>
      <c r="F250" s="391"/>
      <c r="G250" s="391"/>
      <c r="H250" s="392"/>
      <c r="I250" s="391"/>
      <c r="J250" s="391"/>
      <c r="K250" s="392"/>
      <c r="L250" s="391"/>
      <c r="M250" s="391"/>
      <c r="N250" s="391"/>
    </row>
    <row r="251" spans="1:14" ht="16.55" hidden="1" customHeight="1" thickBot="1" x14ac:dyDescent="0.35">
      <c r="A251" s="378" t="str">
        <f t="shared" ca="1" si="3"/>
        <v/>
      </c>
      <c r="B251" s="395">
        <f>+LATrackerALL!A252</f>
        <v>42980</v>
      </c>
      <c r="C251" s="396">
        <f>+LATrackerALL!E252</f>
        <v>4</v>
      </c>
      <c r="D251" s="397">
        <f>+LATrackerALL!C252</f>
        <v>0</v>
      </c>
      <c r="E251" s="398">
        <f>+LATrackerALL!D252</f>
        <v>1.3333333333333333</v>
      </c>
      <c r="F251" s="391"/>
      <c r="G251" s="391"/>
      <c r="H251" s="392"/>
      <c r="I251" s="391"/>
      <c r="J251" s="391"/>
      <c r="K251" s="392"/>
      <c r="L251" s="391"/>
      <c r="M251" s="391"/>
      <c r="N251" s="391"/>
    </row>
    <row r="252" spans="1:14" ht="16.55" hidden="1" customHeight="1" thickBot="1" x14ac:dyDescent="0.35">
      <c r="A252" s="378" t="str">
        <f t="shared" ca="1" si="3"/>
        <v/>
      </c>
      <c r="B252" s="395">
        <f>+LATrackerALL!A253</f>
        <v>42981</v>
      </c>
      <c r="C252" s="396">
        <f>+LATrackerALL!E253</f>
        <v>4</v>
      </c>
      <c r="D252" s="397">
        <f>+LATrackerALL!C253</f>
        <v>0</v>
      </c>
      <c r="E252" s="398">
        <f>+LATrackerALL!D253</f>
        <v>1.3333333333333333</v>
      </c>
      <c r="F252" s="391"/>
      <c r="G252" s="391"/>
      <c r="H252" s="392"/>
      <c r="I252" s="391"/>
      <c r="J252" s="391"/>
      <c r="K252" s="392"/>
      <c r="L252" s="391"/>
      <c r="M252" s="391"/>
      <c r="N252" s="391"/>
    </row>
    <row r="253" spans="1:14" ht="16.55" hidden="1" customHeight="1" thickBot="1" x14ac:dyDescent="0.35">
      <c r="A253" s="378" t="str">
        <f t="shared" ca="1" si="3"/>
        <v/>
      </c>
      <c r="B253" s="395">
        <f>+LATrackerALL!A254</f>
        <v>42982</v>
      </c>
      <c r="C253" s="396">
        <f>+LATrackerALL!E254</f>
        <v>4</v>
      </c>
      <c r="D253" s="397">
        <f>+LATrackerALL!C254</f>
        <v>0</v>
      </c>
      <c r="E253" s="398">
        <f>+LATrackerALL!D254</f>
        <v>1.3333333333333333</v>
      </c>
      <c r="F253" s="391"/>
      <c r="G253" s="391"/>
      <c r="H253" s="392"/>
      <c r="I253" s="391"/>
      <c r="J253" s="391"/>
      <c r="K253" s="392"/>
      <c r="L253" s="391"/>
      <c r="M253" s="391"/>
      <c r="N253" s="391"/>
    </row>
    <row r="254" spans="1:14" ht="16.55" hidden="1" customHeight="1" thickBot="1" x14ac:dyDescent="0.35">
      <c r="A254" s="378" t="str">
        <f t="shared" ca="1" si="3"/>
        <v/>
      </c>
      <c r="B254" s="395">
        <f>+LATrackerALL!A255</f>
        <v>42983</v>
      </c>
      <c r="C254" s="396">
        <f>+LATrackerALL!E255</f>
        <v>5</v>
      </c>
      <c r="D254" s="397">
        <f>+LATrackerALL!C255</f>
        <v>0.33333333333333331</v>
      </c>
      <c r="E254" s="398">
        <f>+LATrackerALL!D255</f>
        <v>1.6666666666666665</v>
      </c>
      <c r="F254" s="391"/>
      <c r="G254" s="391"/>
      <c r="H254" s="392"/>
      <c r="I254" s="391"/>
      <c r="J254" s="391"/>
      <c r="K254" s="392"/>
      <c r="L254" s="391"/>
      <c r="M254" s="391"/>
      <c r="N254" s="391"/>
    </row>
    <row r="255" spans="1:14" ht="16.55" hidden="1" customHeight="1" thickBot="1" x14ac:dyDescent="0.35">
      <c r="A255" s="378" t="str">
        <f t="shared" ca="1" si="3"/>
        <v/>
      </c>
      <c r="B255" s="395">
        <f>+LATrackerALL!A256</f>
        <v>42984</v>
      </c>
      <c r="C255" s="396">
        <f>+LATrackerALL!E256</f>
        <v>5</v>
      </c>
      <c r="D255" s="397">
        <f>+LATrackerALL!C256</f>
        <v>0</v>
      </c>
      <c r="E255" s="398">
        <f>+LATrackerALL!D256</f>
        <v>1.6666666666666665</v>
      </c>
      <c r="F255" s="391"/>
      <c r="G255" s="391"/>
      <c r="H255" s="392"/>
      <c r="I255" s="391"/>
      <c r="J255" s="391"/>
      <c r="K255" s="392"/>
      <c r="L255" s="391"/>
      <c r="M255" s="391"/>
      <c r="N255" s="391"/>
    </row>
    <row r="256" spans="1:14" ht="16.55" hidden="1" customHeight="1" thickBot="1" x14ac:dyDescent="0.35">
      <c r="A256" s="378" t="str">
        <f t="shared" ca="1" si="3"/>
        <v/>
      </c>
      <c r="B256" s="395">
        <f>+LATrackerALL!A257</f>
        <v>42985</v>
      </c>
      <c r="C256" s="396">
        <f>+LATrackerALL!E257</f>
        <v>5</v>
      </c>
      <c r="D256" s="397">
        <f>+LATrackerALL!C257</f>
        <v>0</v>
      </c>
      <c r="E256" s="398">
        <f>+LATrackerALL!D257</f>
        <v>1.6666666666666665</v>
      </c>
      <c r="F256" s="391"/>
      <c r="G256" s="391"/>
      <c r="H256" s="392"/>
      <c r="I256" s="391"/>
      <c r="J256" s="391"/>
      <c r="K256" s="392"/>
      <c r="L256" s="391"/>
      <c r="M256" s="391"/>
      <c r="N256" s="391"/>
    </row>
    <row r="257" spans="1:14" ht="16.55" hidden="1" customHeight="1" thickBot="1" x14ac:dyDescent="0.35">
      <c r="A257" s="378" t="str">
        <f t="shared" ca="1" si="3"/>
        <v/>
      </c>
      <c r="B257" s="395">
        <f>+LATrackerALL!A258</f>
        <v>42986</v>
      </c>
      <c r="C257" s="396">
        <f>+LATrackerALL!E258</f>
        <v>5</v>
      </c>
      <c r="D257" s="397">
        <f>+LATrackerALL!C258</f>
        <v>0</v>
      </c>
      <c r="E257" s="398">
        <f>+LATrackerALL!D258</f>
        <v>1.6666666666666665</v>
      </c>
      <c r="F257" s="391"/>
      <c r="G257" s="391"/>
      <c r="H257" s="392"/>
      <c r="I257" s="391"/>
      <c r="J257" s="391"/>
      <c r="K257" s="392"/>
      <c r="L257" s="391"/>
      <c r="M257" s="391"/>
      <c r="N257" s="391"/>
    </row>
    <row r="258" spans="1:14" ht="16.55" hidden="1" customHeight="1" thickBot="1" x14ac:dyDescent="0.35">
      <c r="A258" s="378" t="str">
        <f t="shared" ca="1" si="3"/>
        <v/>
      </c>
      <c r="B258" s="395">
        <f>+LATrackerALL!A259</f>
        <v>42987</v>
      </c>
      <c r="C258" s="396">
        <f>+LATrackerALL!E259</f>
        <v>5</v>
      </c>
      <c r="D258" s="397">
        <f>+LATrackerALL!C259</f>
        <v>0</v>
      </c>
      <c r="E258" s="398">
        <f>+LATrackerALL!D259</f>
        <v>1.6666666666666665</v>
      </c>
      <c r="F258" s="391"/>
      <c r="G258" s="391"/>
      <c r="H258" s="392"/>
      <c r="I258" s="391"/>
      <c r="J258" s="391"/>
      <c r="K258" s="392"/>
      <c r="L258" s="391"/>
      <c r="M258" s="391"/>
      <c r="N258" s="391"/>
    </row>
    <row r="259" spans="1:14" ht="16.55" hidden="1" customHeight="1" thickBot="1" x14ac:dyDescent="0.35">
      <c r="A259" s="378" t="str">
        <f t="shared" ca="1" si="3"/>
        <v/>
      </c>
      <c r="B259" s="395">
        <f>+LATrackerALL!A260</f>
        <v>42988</v>
      </c>
      <c r="C259" s="396">
        <f>+LATrackerALL!E260</f>
        <v>5</v>
      </c>
      <c r="D259" s="397">
        <f>+LATrackerALL!C260</f>
        <v>0</v>
      </c>
      <c r="E259" s="398">
        <f>+LATrackerALL!D260</f>
        <v>1.6666666666666665</v>
      </c>
      <c r="F259" s="391"/>
      <c r="G259" s="391"/>
      <c r="H259" s="392"/>
      <c r="I259" s="391"/>
      <c r="J259" s="391"/>
      <c r="K259" s="392"/>
      <c r="L259" s="391"/>
      <c r="M259" s="391"/>
      <c r="N259" s="391"/>
    </row>
    <row r="260" spans="1:14" ht="16.55" hidden="1" customHeight="1" thickBot="1" x14ac:dyDescent="0.35">
      <c r="A260" s="378" t="str">
        <f t="shared" ca="1" si="3"/>
        <v/>
      </c>
      <c r="B260" s="395">
        <f>+LATrackerALL!A261</f>
        <v>42989</v>
      </c>
      <c r="C260" s="396">
        <f>+LATrackerALL!E261</f>
        <v>5</v>
      </c>
      <c r="D260" s="397">
        <f>+LATrackerALL!C261</f>
        <v>0</v>
      </c>
      <c r="E260" s="398">
        <f>+LATrackerALL!D261</f>
        <v>1.6666666666666665</v>
      </c>
      <c r="F260" s="391"/>
      <c r="G260" s="391"/>
      <c r="H260" s="392"/>
      <c r="I260" s="391"/>
      <c r="J260" s="391"/>
      <c r="K260" s="392"/>
      <c r="L260" s="391"/>
      <c r="M260" s="391"/>
      <c r="N260" s="391"/>
    </row>
    <row r="261" spans="1:14" ht="16.55" hidden="1" customHeight="1" thickBot="1" x14ac:dyDescent="0.35">
      <c r="A261" s="378" t="str">
        <f t="shared" ca="1" si="3"/>
        <v/>
      </c>
      <c r="B261" s="395">
        <f>+LATrackerALL!A262</f>
        <v>42990</v>
      </c>
      <c r="C261" s="396">
        <f>+LATrackerALL!E262</f>
        <v>5</v>
      </c>
      <c r="D261" s="397">
        <f>+LATrackerALL!C262</f>
        <v>0</v>
      </c>
      <c r="E261" s="398">
        <f>+LATrackerALL!D262</f>
        <v>1.6666666666666665</v>
      </c>
      <c r="F261" s="391"/>
      <c r="G261" s="391"/>
      <c r="H261" s="392"/>
      <c r="I261" s="391"/>
      <c r="J261" s="391"/>
      <c r="K261" s="392"/>
      <c r="L261" s="391"/>
      <c r="M261" s="391"/>
      <c r="N261" s="391"/>
    </row>
    <row r="262" spans="1:14" ht="16.55" hidden="1" customHeight="1" thickBot="1" x14ac:dyDescent="0.35">
      <c r="A262" s="378" t="str">
        <f t="shared" ca="1" si="3"/>
        <v/>
      </c>
      <c r="B262" s="395">
        <f>+LATrackerALL!A263</f>
        <v>42991</v>
      </c>
      <c r="C262" s="396">
        <f>+LATrackerALL!E263</f>
        <v>5</v>
      </c>
      <c r="D262" s="397">
        <f>+LATrackerALL!C263</f>
        <v>0</v>
      </c>
      <c r="E262" s="398">
        <f>+LATrackerALL!D263</f>
        <v>1.6666666666666665</v>
      </c>
      <c r="F262" s="391"/>
      <c r="G262" s="391"/>
      <c r="H262" s="392"/>
      <c r="I262" s="391"/>
      <c r="J262" s="391"/>
      <c r="K262" s="392"/>
      <c r="L262" s="391"/>
      <c r="M262" s="391"/>
      <c r="N262" s="391"/>
    </row>
    <row r="263" spans="1:14" ht="16.55" hidden="1" customHeight="1" thickBot="1" x14ac:dyDescent="0.35">
      <c r="A263" s="378" t="str">
        <f t="shared" ca="1" si="3"/>
        <v/>
      </c>
      <c r="B263" s="395">
        <f>+LATrackerALL!A264</f>
        <v>42992</v>
      </c>
      <c r="C263" s="396">
        <f>+LATrackerALL!E264</f>
        <v>5</v>
      </c>
      <c r="D263" s="397">
        <f>+LATrackerALL!C264</f>
        <v>0</v>
      </c>
      <c r="E263" s="398">
        <f>+LATrackerALL!D264</f>
        <v>1.6666666666666665</v>
      </c>
      <c r="F263" s="391"/>
      <c r="G263" s="391"/>
      <c r="H263" s="392"/>
      <c r="I263" s="391"/>
      <c r="J263" s="391"/>
      <c r="K263" s="392"/>
      <c r="L263" s="391"/>
      <c r="M263" s="391"/>
      <c r="N263" s="391"/>
    </row>
    <row r="264" spans="1:14" ht="16.55" hidden="1" customHeight="1" thickBot="1" x14ac:dyDescent="0.35">
      <c r="A264" s="378" t="str">
        <f t="shared" ca="1" si="3"/>
        <v/>
      </c>
      <c r="B264" s="395">
        <f>+LATrackerALL!A265</f>
        <v>42993</v>
      </c>
      <c r="C264" s="396">
        <f>+LATrackerALL!E265</f>
        <v>5</v>
      </c>
      <c r="D264" s="397">
        <f>+LATrackerALL!C265</f>
        <v>0</v>
      </c>
      <c r="E264" s="398">
        <f>+LATrackerALL!D265</f>
        <v>1.6666666666666665</v>
      </c>
      <c r="F264" s="391"/>
      <c r="G264" s="391"/>
      <c r="H264" s="392"/>
      <c r="I264" s="391"/>
      <c r="J264" s="391"/>
      <c r="K264" s="392"/>
      <c r="L264" s="391"/>
      <c r="M264" s="391"/>
      <c r="N264" s="391"/>
    </row>
    <row r="265" spans="1:14" ht="16.55" hidden="1" customHeight="1" thickBot="1" x14ac:dyDescent="0.35">
      <c r="A265" s="378" t="str">
        <f t="shared" ref="A265:A328" ca="1" si="4">IF(TODAY()&gt;=B265,"==&gt;","")</f>
        <v/>
      </c>
      <c r="B265" s="395">
        <f>+LATrackerALL!A266</f>
        <v>42994</v>
      </c>
      <c r="C265" s="396">
        <f>+LATrackerALL!E266</f>
        <v>5</v>
      </c>
      <c r="D265" s="397">
        <f>+LATrackerALL!C266</f>
        <v>0</v>
      </c>
      <c r="E265" s="398">
        <f>+LATrackerALL!D266</f>
        <v>1.6666666666666665</v>
      </c>
      <c r="F265" s="391"/>
      <c r="G265" s="391"/>
      <c r="H265" s="392"/>
      <c r="I265" s="391"/>
      <c r="J265" s="391"/>
      <c r="K265" s="392"/>
      <c r="L265" s="391"/>
      <c r="M265" s="391"/>
      <c r="N265" s="391"/>
    </row>
    <row r="266" spans="1:14" ht="16.55" hidden="1" customHeight="1" thickBot="1" x14ac:dyDescent="0.35">
      <c r="A266" s="378" t="str">
        <f t="shared" ca="1" si="4"/>
        <v/>
      </c>
      <c r="B266" s="395">
        <f>+LATrackerALL!A267</f>
        <v>42995</v>
      </c>
      <c r="C266" s="396">
        <f>+LATrackerALL!E267</f>
        <v>5</v>
      </c>
      <c r="D266" s="397">
        <f>+LATrackerALL!C267</f>
        <v>0</v>
      </c>
      <c r="E266" s="398">
        <f>+LATrackerALL!D267</f>
        <v>1.6666666666666665</v>
      </c>
      <c r="F266" s="391"/>
      <c r="G266" s="391"/>
      <c r="H266" s="392"/>
      <c r="I266" s="391"/>
      <c r="J266" s="391"/>
      <c r="K266" s="392"/>
      <c r="L266" s="391"/>
      <c r="M266" s="391"/>
      <c r="N266" s="391"/>
    </row>
    <row r="267" spans="1:14" ht="16.55" hidden="1" customHeight="1" thickBot="1" x14ac:dyDescent="0.35">
      <c r="A267" s="378" t="str">
        <f t="shared" ca="1" si="4"/>
        <v/>
      </c>
      <c r="B267" s="395">
        <f>+LATrackerALL!A268</f>
        <v>42996</v>
      </c>
      <c r="C267" s="396">
        <f>+LATrackerALL!E268</f>
        <v>5</v>
      </c>
      <c r="D267" s="397">
        <f>+LATrackerALL!C268</f>
        <v>0</v>
      </c>
      <c r="E267" s="398">
        <f>+LATrackerALL!D268</f>
        <v>1.6666666666666665</v>
      </c>
      <c r="F267" s="391"/>
      <c r="G267" s="391"/>
      <c r="H267" s="392"/>
      <c r="I267" s="391"/>
      <c r="J267" s="391"/>
      <c r="K267" s="392"/>
      <c r="L267" s="391"/>
      <c r="M267" s="391"/>
      <c r="N267" s="391"/>
    </row>
    <row r="268" spans="1:14" ht="16.55" hidden="1" customHeight="1" thickBot="1" x14ac:dyDescent="0.35">
      <c r="A268" s="378" t="str">
        <f t="shared" ca="1" si="4"/>
        <v/>
      </c>
      <c r="B268" s="395">
        <f>+LATrackerALL!A269</f>
        <v>42997</v>
      </c>
      <c r="C268" s="396">
        <f>+LATrackerALL!E269</f>
        <v>5</v>
      </c>
      <c r="D268" s="397">
        <f>+LATrackerALL!C269</f>
        <v>0</v>
      </c>
      <c r="E268" s="398">
        <f>+LATrackerALL!D269</f>
        <v>1.6666666666666665</v>
      </c>
      <c r="F268" s="391"/>
      <c r="G268" s="391"/>
      <c r="H268" s="392"/>
      <c r="I268" s="391"/>
      <c r="J268" s="391"/>
      <c r="K268" s="392"/>
      <c r="L268" s="391"/>
      <c r="M268" s="391"/>
      <c r="N268" s="391"/>
    </row>
    <row r="269" spans="1:14" ht="16.55" hidden="1" customHeight="1" thickBot="1" x14ac:dyDescent="0.35">
      <c r="A269" s="378" t="str">
        <f t="shared" ca="1" si="4"/>
        <v/>
      </c>
      <c r="B269" s="395">
        <f>+LATrackerALL!A270</f>
        <v>42998</v>
      </c>
      <c r="C269" s="396">
        <f>+LATrackerALL!E270</f>
        <v>5</v>
      </c>
      <c r="D269" s="397">
        <f>+LATrackerALL!C270</f>
        <v>0</v>
      </c>
      <c r="E269" s="398">
        <f>+LATrackerALL!D270</f>
        <v>1.6666666666666665</v>
      </c>
      <c r="F269" s="391"/>
      <c r="G269" s="391"/>
      <c r="H269" s="392"/>
      <c r="I269" s="391"/>
      <c r="J269" s="391"/>
      <c r="K269" s="392"/>
      <c r="L269" s="391"/>
      <c r="M269" s="391"/>
      <c r="N269" s="391"/>
    </row>
    <row r="270" spans="1:14" ht="16.55" hidden="1" customHeight="1" thickBot="1" x14ac:dyDescent="0.35">
      <c r="A270" s="378" t="str">
        <f t="shared" ca="1" si="4"/>
        <v/>
      </c>
      <c r="B270" s="395">
        <f>+LATrackerALL!A271</f>
        <v>42999</v>
      </c>
      <c r="C270" s="396">
        <f>+LATrackerALL!E271</f>
        <v>5</v>
      </c>
      <c r="D270" s="397">
        <f>+LATrackerALL!C271</f>
        <v>0</v>
      </c>
      <c r="E270" s="398">
        <f>+LATrackerALL!D271</f>
        <v>1.6666666666666665</v>
      </c>
      <c r="F270" s="391"/>
      <c r="G270" s="391"/>
      <c r="H270" s="392"/>
      <c r="I270" s="391"/>
      <c r="J270" s="391"/>
      <c r="K270" s="392"/>
      <c r="L270" s="391"/>
      <c r="M270" s="391"/>
      <c r="N270" s="391"/>
    </row>
    <row r="271" spans="1:14" ht="16.55" hidden="1" customHeight="1" thickBot="1" x14ac:dyDescent="0.35">
      <c r="A271" s="378" t="str">
        <f t="shared" ca="1" si="4"/>
        <v/>
      </c>
      <c r="B271" s="395">
        <f>+LATrackerALL!A272</f>
        <v>43000</v>
      </c>
      <c r="C271" s="396">
        <f>+LATrackerALL!E272</f>
        <v>5</v>
      </c>
      <c r="D271" s="397">
        <f>+LATrackerALL!C272</f>
        <v>0</v>
      </c>
      <c r="E271" s="398">
        <f>+LATrackerALL!D272</f>
        <v>1.6666666666666665</v>
      </c>
      <c r="F271" s="391"/>
      <c r="G271" s="391"/>
      <c r="H271" s="392"/>
      <c r="I271" s="391"/>
      <c r="J271" s="391"/>
      <c r="K271" s="392"/>
      <c r="L271" s="391"/>
      <c r="M271" s="391"/>
      <c r="N271" s="391"/>
    </row>
    <row r="272" spans="1:14" ht="16.55" hidden="1" customHeight="1" thickBot="1" x14ac:dyDescent="0.35">
      <c r="A272" s="378" t="str">
        <f t="shared" ca="1" si="4"/>
        <v/>
      </c>
      <c r="B272" s="395">
        <f>+LATrackerALL!A273</f>
        <v>43001</v>
      </c>
      <c r="C272" s="396">
        <f>+LATrackerALL!E273</f>
        <v>5</v>
      </c>
      <c r="D272" s="397">
        <f>+LATrackerALL!C273</f>
        <v>0</v>
      </c>
      <c r="E272" s="398">
        <f>+LATrackerALL!D273</f>
        <v>1.6666666666666665</v>
      </c>
      <c r="F272" s="391"/>
      <c r="G272" s="391"/>
      <c r="H272" s="392"/>
      <c r="I272" s="391"/>
      <c r="J272" s="391"/>
      <c r="K272" s="392"/>
      <c r="L272" s="391"/>
      <c r="M272" s="391"/>
      <c r="N272" s="391"/>
    </row>
    <row r="273" spans="1:14" ht="16.55" hidden="1" customHeight="1" thickBot="1" x14ac:dyDescent="0.35">
      <c r="A273" s="378" t="str">
        <f t="shared" ca="1" si="4"/>
        <v/>
      </c>
      <c r="B273" s="395">
        <f>+LATrackerALL!A274</f>
        <v>43002</v>
      </c>
      <c r="C273" s="396">
        <f>+LATrackerALL!E274</f>
        <v>5</v>
      </c>
      <c r="D273" s="397">
        <f>+LATrackerALL!C274</f>
        <v>0</v>
      </c>
      <c r="E273" s="398">
        <f>+LATrackerALL!D274</f>
        <v>1.6666666666666665</v>
      </c>
      <c r="F273" s="391"/>
      <c r="G273" s="391"/>
      <c r="H273" s="392"/>
      <c r="I273" s="391"/>
      <c r="J273" s="391"/>
      <c r="K273" s="392"/>
      <c r="L273" s="391"/>
      <c r="M273" s="391"/>
      <c r="N273" s="391"/>
    </row>
    <row r="274" spans="1:14" ht="16.55" hidden="1" customHeight="1" thickBot="1" x14ac:dyDescent="0.35">
      <c r="A274" s="378" t="str">
        <f t="shared" ca="1" si="4"/>
        <v/>
      </c>
      <c r="B274" s="395">
        <f>+LATrackerALL!A275</f>
        <v>43003</v>
      </c>
      <c r="C274" s="396">
        <f>+LATrackerALL!E275</f>
        <v>5</v>
      </c>
      <c r="D274" s="397">
        <f>+LATrackerALL!C275</f>
        <v>0</v>
      </c>
      <c r="E274" s="398">
        <f>+LATrackerALL!D275</f>
        <v>1.6666666666666665</v>
      </c>
      <c r="F274" s="391"/>
      <c r="G274" s="391"/>
      <c r="H274" s="392"/>
      <c r="I274" s="391"/>
      <c r="J274" s="391"/>
      <c r="K274" s="392"/>
      <c r="L274" s="391"/>
      <c r="M274" s="391"/>
      <c r="N274" s="391"/>
    </row>
    <row r="275" spans="1:14" ht="16.55" hidden="1" customHeight="1" thickBot="1" x14ac:dyDescent="0.35">
      <c r="A275" s="378" t="str">
        <f t="shared" ca="1" si="4"/>
        <v/>
      </c>
      <c r="B275" s="395">
        <f>+LATrackerALL!A276</f>
        <v>43004</v>
      </c>
      <c r="C275" s="396">
        <f>+LATrackerALL!E276</f>
        <v>5</v>
      </c>
      <c r="D275" s="397">
        <f>+LATrackerALL!C276</f>
        <v>0</v>
      </c>
      <c r="E275" s="398">
        <f>+LATrackerALL!D276</f>
        <v>1.6666666666666665</v>
      </c>
      <c r="F275" s="391"/>
      <c r="G275" s="391"/>
      <c r="H275" s="392"/>
      <c r="I275" s="391"/>
      <c r="J275" s="391"/>
      <c r="K275" s="392"/>
      <c r="L275" s="391"/>
      <c r="M275" s="391"/>
      <c r="N275" s="391"/>
    </row>
    <row r="276" spans="1:14" ht="16.55" hidden="1" customHeight="1" thickBot="1" x14ac:dyDescent="0.35">
      <c r="A276" s="378" t="str">
        <f t="shared" ca="1" si="4"/>
        <v/>
      </c>
      <c r="B276" s="395">
        <f>+LATrackerALL!A277</f>
        <v>43005</v>
      </c>
      <c r="C276" s="396">
        <f>+LATrackerALL!E277</f>
        <v>5</v>
      </c>
      <c r="D276" s="397">
        <f>+LATrackerALL!C277</f>
        <v>0</v>
      </c>
      <c r="E276" s="398">
        <f>+LATrackerALL!D277</f>
        <v>1.6666666666666665</v>
      </c>
      <c r="F276" s="391"/>
      <c r="G276" s="391"/>
      <c r="H276" s="392"/>
      <c r="I276" s="391"/>
      <c r="J276" s="391"/>
      <c r="K276" s="392"/>
      <c r="L276" s="391"/>
      <c r="M276" s="391"/>
      <c r="N276" s="391"/>
    </row>
    <row r="277" spans="1:14" ht="16.55" hidden="1" customHeight="1" thickBot="1" x14ac:dyDescent="0.35">
      <c r="A277" s="378" t="str">
        <f t="shared" ca="1" si="4"/>
        <v/>
      </c>
      <c r="B277" s="395">
        <f>+LATrackerALL!A278</f>
        <v>43006</v>
      </c>
      <c r="C277" s="396">
        <f>+LATrackerALL!E278</f>
        <v>5</v>
      </c>
      <c r="D277" s="397">
        <f>+LATrackerALL!C278</f>
        <v>0</v>
      </c>
      <c r="E277" s="398">
        <f>+LATrackerALL!D278</f>
        <v>1.6666666666666665</v>
      </c>
      <c r="F277" s="391"/>
      <c r="G277" s="391"/>
      <c r="H277" s="392"/>
      <c r="I277" s="391"/>
      <c r="J277" s="391"/>
      <c r="K277" s="392"/>
      <c r="L277" s="391"/>
      <c r="M277" s="391"/>
      <c r="N277" s="391"/>
    </row>
    <row r="278" spans="1:14" ht="16.55" hidden="1" customHeight="1" thickBot="1" x14ac:dyDescent="0.35">
      <c r="A278" s="378" t="str">
        <f t="shared" ca="1" si="4"/>
        <v/>
      </c>
      <c r="B278" s="395">
        <f>+LATrackerALL!A279</f>
        <v>43007</v>
      </c>
      <c r="C278" s="396">
        <f>+LATrackerALL!E279</f>
        <v>5</v>
      </c>
      <c r="D278" s="397">
        <f>+LATrackerALL!C279</f>
        <v>0</v>
      </c>
      <c r="E278" s="398">
        <f>+LATrackerALL!D279</f>
        <v>1.6666666666666665</v>
      </c>
      <c r="F278" s="391"/>
      <c r="G278" s="391"/>
      <c r="H278" s="392"/>
      <c r="I278" s="391"/>
      <c r="J278" s="391"/>
      <c r="K278" s="392"/>
      <c r="L278" s="391"/>
      <c r="M278" s="391"/>
      <c r="N278" s="391"/>
    </row>
    <row r="279" spans="1:14" ht="16.55" hidden="1" customHeight="1" thickBot="1" x14ac:dyDescent="0.35">
      <c r="A279" s="378" t="str">
        <f t="shared" ca="1" si="4"/>
        <v/>
      </c>
      <c r="B279" s="395">
        <f>+LATrackerALL!A280</f>
        <v>43008</v>
      </c>
      <c r="C279" s="396">
        <f>+LATrackerALL!E280</f>
        <v>5</v>
      </c>
      <c r="D279" s="397">
        <f>+LATrackerALL!C280</f>
        <v>0</v>
      </c>
      <c r="E279" s="398">
        <f>+LATrackerALL!D280</f>
        <v>1.6666666666666665</v>
      </c>
      <c r="F279" s="391"/>
      <c r="G279" s="391"/>
      <c r="H279" s="392"/>
      <c r="I279" s="391"/>
      <c r="J279" s="391"/>
      <c r="K279" s="392"/>
      <c r="L279" s="391"/>
      <c r="M279" s="391"/>
      <c r="N279" s="391"/>
    </row>
    <row r="280" spans="1:14" ht="16.55" hidden="1" customHeight="1" thickBot="1" x14ac:dyDescent="0.35">
      <c r="A280" s="378" t="str">
        <f t="shared" ca="1" si="4"/>
        <v/>
      </c>
      <c r="B280" s="395">
        <f>+LATrackerALL!A281</f>
        <v>43009</v>
      </c>
      <c r="C280" s="396">
        <f>+LATrackerALL!E281</f>
        <v>5</v>
      </c>
      <c r="D280" s="397">
        <f>+LATrackerALL!C281</f>
        <v>0</v>
      </c>
      <c r="E280" s="398">
        <f>+LATrackerALL!D281</f>
        <v>1.6666666666666665</v>
      </c>
      <c r="F280" s="391"/>
      <c r="G280" s="391"/>
      <c r="H280" s="392"/>
      <c r="I280" s="391"/>
      <c r="J280" s="391"/>
      <c r="K280" s="392"/>
      <c r="L280" s="391"/>
      <c r="M280" s="391"/>
      <c r="N280" s="391"/>
    </row>
    <row r="281" spans="1:14" ht="16.55" hidden="1" customHeight="1" thickBot="1" x14ac:dyDescent="0.35">
      <c r="A281" s="378" t="str">
        <f t="shared" ca="1" si="4"/>
        <v/>
      </c>
      <c r="B281" s="395">
        <f>+LATrackerALL!A282</f>
        <v>43010</v>
      </c>
      <c r="C281" s="396">
        <f>+LATrackerALL!E282</f>
        <v>5</v>
      </c>
      <c r="D281" s="397">
        <f>+LATrackerALL!C282</f>
        <v>0</v>
      </c>
      <c r="E281" s="398">
        <f>+LATrackerALL!D282</f>
        <v>1.6666666666666665</v>
      </c>
      <c r="F281" s="391"/>
      <c r="G281" s="391"/>
      <c r="H281" s="392"/>
      <c r="I281" s="391"/>
      <c r="J281" s="391"/>
      <c r="K281" s="392"/>
      <c r="L281" s="391"/>
      <c r="M281" s="391"/>
      <c r="N281" s="391"/>
    </row>
    <row r="282" spans="1:14" ht="16.55" customHeight="1" thickBot="1" x14ac:dyDescent="0.35">
      <c r="A282" s="378" t="str">
        <f t="shared" ca="1" si="4"/>
        <v/>
      </c>
      <c r="B282" s="395">
        <f>+LATrackerALL!A283</f>
        <v>43011</v>
      </c>
      <c r="C282" s="396">
        <f>+LATrackerALL!E283</f>
        <v>5</v>
      </c>
      <c r="D282" s="397">
        <f>+LATrackerALL!C283</f>
        <v>0</v>
      </c>
      <c r="E282" s="398">
        <f>+LATrackerALL!D283</f>
        <v>1.6666666666666665</v>
      </c>
      <c r="F282" s="391"/>
      <c r="G282" s="391"/>
      <c r="H282" s="392"/>
      <c r="I282" s="391"/>
      <c r="J282" s="391"/>
      <c r="K282" s="392"/>
      <c r="L282" s="391"/>
      <c r="M282" s="391"/>
      <c r="N282" s="391"/>
    </row>
    <row r="283" spans="1:14" ht="16.55" hidden="1" customHeight="1" thickBot="1" x14ac:dyDescent="0.35">
      <c r="A283" s="378" t="str">
        <f t="shared" ca="1" si="4"/>
        <v/>
      </c>
      <c r="B283" s="395">
        <f>+LATrackerALL!A284</f>
        <v>43012</v>
      </c>
      <c r="C283" s="396">
        <f>+LATrackerALL!E284</f>
        <v>5</v>
      </c>
      <c r="D283" s="397">
        <f>+LATrackerALL!C284</f>
        <v>0</v>
      </c>
      <c r="E283" s="398">
        <f>+LATrackerALL!D284</f>
        <v>1.6666666666666665</v>
      </c>
      <c r="F283" s="391"/>
      <c r="G283" s="391"/>
      <c r="H283" s="392"/>
      <c r="I283" s="391"/>
      <c r="J283" s="391"/>
      <c r="K283" s="392"/>
      <c r="L283" s="391"/>
      <c r="M283" s="391"/>
      <c r="N283" s="391"/>
    </row>
    <row r="284" spans="1:14" ht="16.55" hidden="1" customHeight="1" thickBot="1" x14ac:dyDescent="0.35">
      <c r="A284" s="378" t="str">
        <f t="shared" ca="1" si="4"/>
        <v/>
      </c>
      <c r="B284" s="395">
        <f>+LATrackerALL!A285</f>
        <v>43013</v>
      </c>
      <c r="C284" s="396">
        <f>+LATrackerALL!E285</f>
        <v>5</v>
      </c>
      <c r="D284" s="397">
        <f>+LATrackerALL!C285</f>
        <v>0</v>
      </c>
      <c r="E284" s="398">
        <f>+LATrackerALL!D285</f>
        <v>1.6666666666666665</v>
      </c>
      <c r="F284" s="391"/>
      <c r="G284" s="391"/>
      <c r="H284" s="392"/>
      <c r="I284" s="391"/>
      <c r="J284" s="391"/>
      <c r="K284" s="392"/>
      <c r="L284" s="391"/>
      <c r="M284" s="391"/>
      <c r="N284" s="391"/>
    </row>
    <row r="285" spans="1:14" ht="16.55" hidden="1" customHeight="1" thickBot="1" x14ac:dyDescent="0.35">
      <c r="A285" s="378" t="str">
        <f t="shared" ca="1" si="4"/>
        <v/>
      </c>
      <c r="B285" s="395">
        <f>+LATrackerALL!A286</f>
        <v>43014</v>
      </c>
      <c r="C285" s="396">
        <f>+LATrackerALL!E286</f>
        <v>5</v>
      </c>
      <c r="D285" s="397">
        <f>+LATrackerALL!C286</f>
        <v>0</v>
      </c>
      <c r="E285" s="398">
        <f>+LATrackerALL!D286</f>
        <v>1.6666666666666665</v>
      </c>
      <c r="F285" s="391"/>
      <c r="G285" s="391"/>
      <c r="H285" s="392"/>
      <c r="I285" s="391"/>
      <c r="J285" s="391"/>
      <c r="K285" s="392"/>
      <c r="L285" s="391"/>
      <c r="M285" s="391"/>
      <c r="N285" s="391"/>
    </row>
    <row r="286" spans="1:14" ht="16.55" hidden="1" customHeight="1" thickBot="1" x14ac:dyDescent="0.35">
      <c r="A286" s="378" t="str">
        <f t="shared" ca="1" si="4"/>
        <v/>
      </c>
      <c r="B286" s="395">
        <f>+LATrackerALL!A287</f>
        <v>43015</v>
      </c>
      <c r="C286" s="396">
        <f>+LATrackerALL!E287</f>
        <v>5</v>
      </c>
      <c r="D286" s="397">
        <f>+LATrackerALL!C287</f>
        <v>0</v>
      </c>
      <c r="E286" s="398">
        <f>+LATrackerALL!D287</f>
        <v>1.6666666666666665</v>
      </c>
      <c r="F286" s="391"/>
      <c r="G286" s="391"/>
      <c r="H286" s="392"/>
      <c r="I286" s="391"/>
      <c r="J286" s="391"/>
      <c r="K286" s="392"/>
      <c r="L286" s="391"/>
      <c r="M286" s="391"/>
      <c r="N286" s="391"/>
    </row>
    <row r="287" spans="1:14" ht="16.55" hidden="1" customHeight="1" thickBot="1" x14ac:dyDescent="0.35">
      <c r="A287" s="378" t="str">
        <f t="shared" ca="1" si="4"/>
        <v/>
      </c>
      <c r="B287" s="395">
        <f>+LATrackerALL!A288</f>
        <v>43016</v>
      </c>
      <c r="C287" s="396">
        <f>+LATrackerALL!E288</f>
        <v>5</v>
      </c>
      <c r="D287" s="397">
        <f>+LATrackerALL!C288</f>
        <v>0</v>
      </c>
      <c r="E287" s="398">
        <f>+LATrackerALL!D288</f>
        <v>1.6666666666666665</v>
      </c>
      <c r="F287" s="391"/>
      <c r="G287" s="391"/>
      <c r="H287" s="392"/>
      <c r="I287" s="391"/>
      <c r="J287" s="391"/>
      <c r="K287" s="392"/>
      <c r="L287" s="391"/>
      <c r="M287" s="391"/>
      <c r="N287" s="391"/>
    </row>
    <row r="288" spans="1:14" ht="16.55" hidden="1" customHeight="1" thickBot="1" x14ac:dyDescent="0.35">
      <c r="A288" s="378" t="str">
        <f t="shared" ca="1" si="4"/>
        <v/>
      </c>
      <c r="B288" s="395">
        <f>+LATrackerALL!A289</f>
        <v>43017</v>
      </c>
      <c r="C288" s="396">
        <f>+LATrackerALL!E289</f>
        <v>5</v>
      </c>
      <c r="D288" s="397">
        <f>+LATrackerALL!C289</f>
        <v>0</v>
      </c>
      <c r="E288" s="398">
        <f>+LATrackerALL!D289</f>
        <v>1.6666666666666665</v>
      </c>
      <c r="F288" s="391"/>
      <c r="G288" s="391"/>
      <c r="H288" s="392"/>
      <c r="I288" s="391"/>
      <c r="J288" s="391"/>
      <c r="K288" s="392"/>
      <c r="L288" s="391"/>
      <c r="M288" s="391"/>
      <c r="N288" s="391"/>
    </row>
    <row r="289" spans="1:14" ht="16.55" hidden="1" customHeight="1" thickBot="1" x14ac:dyDescent="0.35">
      <c r="A289" s="378" t="str">
        <f t="shared" ca="1" si="4"/>
        <v/>
      </c>
      <c r="B289" s="395">
        <f>+LATrackerALL!A290</f>
        <v>43018</v>
      </c>
      <c r="C289" s="396">
        <f>+LATrackerALL!E290</f>
        <v>6</v>
      </c>
      <c r="D289" s="397">
        <f>+LATrackerALL!C290</f>
        <v>0.33333333333333331</v>
      </c>
      <c r="E289" s="398">
        <f>+LATrackerALL!D290</f>
        <v>1.9999999999999998</v>
      </c>
      <c r="F289" s="391"/>
      <c r="G289" s="391"/>
      <c r="H289" s="392"/>
      <c r="I289" s="391"/>
      <c r="J289" s="391"/>
      <c r="K289" s="392"/>
      <c r="L289" s="391"/>
      <c r="M289" s="391"/>
      <c r="N289" s="391"/>
    </row>
    <row r="290" spans="1:14" ht="16.55" hidden="1" customHeight="1" thickBot="1" x14ac:dyDescent="0.35">
      <c r="A290" s="378" t="str">
        <f t="shared" ca="1" si="4"/>
        <v/>
      </c>
      <c r="B290" s="395">
        <f>+LATrackerALL!A291</f>
        <v>43019</v>
      </c>
      <c r="C290" s="396">
        <f>+LATrackerALL!E291</f>
        <v>6</v>
      </c>
      <c r="D290" s="397">
        <f>+LATrackerALL!C291</f>
        <v>0</v>
      </c>
      <c r="E290" s="398">
        <f>+LATrackerALL!D291</f>
        <v>1.9999999999999998</v>
      </c>
      <c r="F290" s="391"/>
      <c r="G290" s="391"/>
      <c r="H290" s="392"/>
      <c r="I290" s="391"/>
      <c r="J290" s="391"/>
      <c r="K290" s="392"/>
      <c r="L290" s="391"/>
      <c r="M290" s="391"/>
      <c r="N290" s="391"/>
    </row>
    <row r="291" spans="1:14" ht="16.55" hidden="1" customHeight="1" thickBot="1" x14ac:dyDescent="0.35">
      <c r="A291" s="378" t="str">
        <f t="shared" ca="1" si="4"/>
        <v/>
      </c>
      <c r="B291" s="395">
        <f>+LATrackerALL!A292</f>
        <v>43020</v>
      </c>
      <c r="C291" s="396">
        <f>+LATrackerALL!E292</f>
        <v>6</v>
      </c>
      <c r="D291" s="397">
        <f>+LATrackerALL!C292</f>
        <v>0</v>
      </c>
      <c r="E291" s="398">
        <f>+LATrackerALL!D292</f>
        <v>1.9999999999999998</v>
      </c>
      <c r="F291" s="391"/>
      <c r="G291" s="391"/>
      <c r="H291" s="392"/>
      <c r="I291" s="391"/>
      <c r="J291" s="391"/>
      <c r="K291" s="392"/>
      <c r="L291" s="391"/>
      <c r="M291" s="391"/>
      <c r="N291" s="391"/>
    </row>
    <row r="292" spans="1:14" ht="16.55" hidden="1" customHeight="1" thickBot="1" x14ac:dyDescent="0.35">
      <c r="A292" s="378" t="str">
        <f t="shared" ca="1" si="4"/>
        <v/>
      </c>
      <c r="B292" s="395">
        <f>+LATrackerALL!A293</f>
        <v>43021</v>
      </c>
      <c r="C292" s="396">
        <f>+LATrackerALL!E293</f>
        <v>6</v>
      </c>
      <c r="D292" s="397">
        <f>+LATrackerALL!C293</f>
        <v>0</v>
      </c>
      <c r="E292" s="398">
        <f>+LATrackerALL!D293</f>
        <v>1.9999999999999998</v>
      </c>
      <c r="F292" s="391"/>
      <c r="G292" s="391"/>
      <c r="H292" s="392"/>
      <c r="I292" s="391"/>
      <c r="J292" s="391"/>
      <c r="K292" s="392"/>
      <c r="L292" s="391"/>
      <c r="M292" s="391"/>
      <c r="N292" s="391"/>
    </row>
    <row r="293" spans="1:14" ht="16.55" hidden="1" customHeight="1" thickBot="1" x14ac:dyDescent="0.35">
      <c r="A293" s="378" t="str">
        <f t="shared" ca="1" si="4"/>
        <v/>
      </c>
      <c r="B293" s="395">
        <f>+LATrackerALL!A294</f>
        <v>43022</v>
      </c>
      <c r="C293" s="396">
        <f>+LATrackerALL!E294</f>
        <v>6</v>
      </c>
      <c r="D293" s="397">
        <f>+LATrackerALL!C294</f>
        <v>0</v>
      </c>
      <c r="E293" s="398">
        <f>+LATrackerALL!D294</f>
        <v>1.9999999999999998</v>
      </c>
      <c r="F293" s="391"/>
      <c r="G293" s="391"/>
      <c r="H293" s="392"/>
      <c r="I293" s="391"/>
      <c r="J293" s="391"/>
      <c r="K293" s="392"/>
      <c r="L293" s="391"/>
      <c r="M293" s="391"/>
      <c r="N293" s="391"/>
    </row>
    <row r="294" spans="1:14" ht="16.55" hidden="1" customHeight="1" thickBot="1" x14ac:dyDescent="0.35">
      <c r="A294" s="378" t="str">
        <f t="shared" ca="1" si="4"/>
        <v/>
      </c>
      <c r="B294" s="395">
        <f>+LATrackerALL!A295</f>
        <v>43023</v>
      </c>
      <c r="C294" s="396">
        <f>+LATrackerALL!E295</f>
        <v>6</v>
      </c>
      <c r="D294" s="397">
        <f>+LATrackerALL!C295</f>
        <v>0</v>
      </c>
      <c r="E294" s="398">
        <f>+LATrackerALL!D295</f>
        <v>1.9999999999999998</v>
      </c>
      <c r="F294" s="391"/>
      <c r="G294" s="391"/>
      <c r="H294" s="392"/>
      <c r="I294" s="391"/>
      <c r="J294" s="391"/>
      <c r="K294" s="392"/>
      <c r="L294" s="391"/>
      <c r="M294" s="391"/>
      <c r="N294" s="391"/>
    </row>
    <row r="295" spans="1:14" ht="16.55" hidden="1" customHeight="1" thickBot="1" x14ac:dyDescent="0.35">
      <c r="A295" s="378" t="str">
        <f t="shared" ca="1" si="4"/>
        <v/>
      </c>
      <c r="B295" s="395">
        <f>+LATrackerALL!A296</f>
        <v>43024</v>
      </c>
      <c r="C295" s="396">
        <f>+LATrackerALL!E296</f>
        <v>6</v>
      </c>
      <c r="D295" s="397">
        <f>+LATrackerALL!C296</f>
        <v>0</v>
      </c>
      <c r="E295" s="398">
        <f>+LATrackerALL!D296</f>
        <v>1.9999999999999998</v>
      </c>
      <c r="F295" s="391"/>
      <c r="G295" s="391"/>
      <c r="H295" s="392"/>
      <c r="I295" s="391"/>
      <c r="J295" s="391"/>
      <c r="K295" s="392"/>
      <c r="L295" s="391"/>
      <c r="M295" s="391"/>
      <c r="N295" s="391"/>
    </row>
    <row r="296" spans="1:14" ht="16.55" hidden="1" customHeight="1" thickBot="1" x14ac:dyDescent="0.35">
      <c r="A296" s="378" t="str">
        <f t="shared" ca="1" si="4"/>
        <v/>
      </c>
      <c r="B296" s="395">
        <f>+LATrackerALL!A297</f>
        <v>43025</v>
      </c>
      <c r="C296" s="396">
        <f>+LATrackerALL!E297</f>
        <v>6</v>
      </c>
      <c r="D296" s="397">
        <f>+LATrackerALL!C297</f>
        <v>0</v>
      </c>
      <c r="E296" s="398">
        <f>+LATrackerALL!D297</f>
        <v>1.9999999999999998</v>
      </c>
      <c r="F296" s="391"/>
      <c r="G296" s="391"/>
      <c r="H296" s="392"/>
      <c r="I296" s="391"/>
      <c r="J296" s="391"/>
      <c r="K296" s="392"/>
      <c r="L296" s="391"/>
      <c r="M296" s="391"/>
      <c r="N296" s="391"/>
    </row>
    <row r="297" spans="1:14" ht="16.55" hidden="1" customHeight="1" thickBot="1" x14ac:dyDescent="0.35">
      <c r="A297" s="378" t="str">
        <f t="shared" ca="1" si="4"/>
        <v/>
      </c>
      <c r="B297" s="395">
        <f>+LATrackerALL!A298</f>
        <v>43026</v>
      </c>
      <c r="C297" s="396">
        <f>+LATrackerALL!E298</f>
        <v>6</v>
      </c>
      <c r="D297" s="397">
        <f>+LATrackerALL!C298</f>
        <v>0</v>
      </c>
      <c r="E297" s="398">
        <f>+LATrackerALL!D298</f>
        <v>1.9999999999999998</v>
      </c>
      <c r="F297" s="391"/>
      <c r="G297" s="391"/>
      <c r="H297" s="392"/>
      <c r="I297" s="391"/>
      <c r="J297" s="391"/>
      <c r="K297" s="392"/>
      <c r="L297" s="391"/>
      <c r="M297" s="391"/>
      <c r="N297" s="391"/>
    </row>
    <row r="298" spans="1:14" ht="16.55" hidden="1" customHeight="1" thickBot="1" x14ac:dyDescent="0.35">
      <c r="A298" s="378" t="str">
        <f t="shared" ca="1" si="4"/>
        <v/>
      </c>
      <c r="B298" s="395">
        <f>+LATrackerALL!A299</f>
        <v>43027</v>
      </c>
      <c r="C298" s="396">
        <f>+LATrackerALL!E299</f>
        <v>6</v>
      </c>
      <c r="D298" s="397">
        <f>+LATrackerALL!C299</f>
        <v>0</v>
      </c>
      <c r="E298" s="398">
        <f>+LATrackerALL!D299</f>
        <v>1.9999999999999998</v>
      </c>
      <c r="F298" s="391"/>
      <c r="G298" s="391"/>
      <c r="H298" s="392"/>
      <c r="I298" s="391"/>
      <c r="J298" s="391"/>
      <c r="K298" s="392"/>
      <c r="L298" s="391"/>
      <c r="M298" s="391"/>
      <c r="N298" s="391"/>
    </row>
    <row r="299" spans="1:14" ht="16.55" hidden="1" customHeight="1" thickBot="1" x14ac:dyDescent="0.35">
      <c r="A299" s="378" t="str">
        <f t="shared" ca="1" si="4"/>
        <v/>
      </c>
      <c r="B299" s="395">
        <f>+LATrackerALL!A300</f>
        <v>43028</v>
      </c>
      <c r="C299" s="396">
        <f>+LATrackerALL!E300</f>
        <v>6</v>
      </c>
      <c r="D299" s="397">
        <f>+LATrackerALL!C300</f>
        <v>0</v>
      </c>
      <c r="E299" s="398">
        <f>+LATrackerALL!D300</f>
        <v>1.9999999999999998</v>
      </c>
      <c r="F299" s="391"/>
      <c r="G299" s="391"/>
      <c r="H299" s="392"/>
      <c r="I299" s="391"/>
      <c r="J299" s="391"/>
      <c r="K299" s="392"/>
      <c r="L299" s="391"/>
      <c r="M299" s="391"/>
      <c r="N299" s="391"/>
    </row>
    <row r="300" spans="1:14" ht="16.55" hidden="1" customHeight="1" thickBot="1" x14ac:dyDescent="0.35">
      <c r="A300" s="378" t="str">
        <f t="shared" ca="1" si="4"/>
        <v/>
      </c>
      <c r="B300" s="395">
        <f>+LATrackerALL!A301</f>
        <v>43029</v>
      </c>
      <c r="C300" s="396">
        <f>+LATrackerALL!E301</f>
        <v>6</v>
      </c>
      <c r="D300" s="397">
        <f>+LATrackerALL!C301</f>
        <v>0</v>
      </c>
      <c r="E300" s="398">
        <f>+LATrackerALL!D301</f>
        <v>1.9999999999999998</v>
      </c>
      <c r="F300" s="391"/>
      <c r="G300" s="391"/>
      <c r="H300" s="392"/>
      <c r="I300" s="391"/>
      <c r="J300" s="391"/>
      <c r="K300" s="392"/>
      <c r="L300" s="391"/>
      <c r="M300" s="391"/>
      <c r="N300" s="391"/>
    </row>
    <row r="301" spans="1:14" ht="16.55" hidden="1" customHeight="1" thickBot="1" x14ac:dyDescent="0.35">
      <c r="A301" s="378" t="str">
        <f t="shared" ca="1" si="4"/>
        <v/>
      </c>
      <c r="B301" s="395">
        <f>+LATrackerALL!A302</f>
        <v>43030</v>
      </c>
      <c r="C301" s="396">
        <f>+LATrackerALL!E302</f>
        <v>6</v>
      </c>
      <c r="D301" s="397">
        <f>+LATrackerALL!C302</f>
        <v>0</v>
      </c>
      <c r="E301" s="398">
        <f>+LATrackerALL!D302</f>
        <v>1.9999999999999998</v>
      </c>
      <c r="F301" s="391"/>
      <c r="G301" s="391"/>
      <c r="H301" s="392"/>
      <c r="I301" s="391"/>
      <c r="J301" s="391"/>
      <c r="K301" s="392"/>
      <c r="L301" s="391"/>
      <c r="M301" s="391"/>
      <c r="N301" s="391"/>
    </row>
    <row r="302" spans="1:14" ht="16.55" hidden="1" customHeight="1" thickBot="1" x14ac:dyDescent="0.35">
      <c r="A302" s="378" t="str">
        <f t="shared" ca="1" si="4"/>
        <v/>
      </c>
      <c r="B302" s="395">
        <f>+LATrackerALL!A303</f>
        <v>43031</v>
      </c>
      <c r="C302" s="396">
        <f>+LATrackerALL!E303</f>
        <v>6</v>
      </c>
      <c r="D302" s="397">
        <f>+LATrackerALL!C303</f>
        <v>0</v>
      </c>
      <c r="E302" s="398">
        <f>+LATrackerALL!D303</f>
        <v>1.9999999999999998</v>
      </c>
      <c r="F302" s="391"/>
      <c r="G302" s="391"/>
      <c r="H302" s="392"/>
      <c r="I302" s="391"/>
      <c r="J302" s="391"/>
      <c r="K302" s="392"/>
      <c r="L302" s="391"/>
      <c r="M302" s="391"/>
      <c r="N302" s="391"/>
    </row>
    <row r="303" spans="1:14" ht="16.55" hidden="1" customHeight="1" thickBot="1" x14ac:dyDescent="0.35">
      <c r="A303" s="378" t="str">
        <f t="shared" ca="1" si="4"/>
        <v/>
      </c>
      <c r="B303" s="395">
        <f>+LATrackerALL!A304</f>
        <v>43032</v>
      </c>
      <c r="C303" s="396">
        <f>+LATrackerALL!E304</f>
        <v>6</v>
      </c>
      <c r="D303" s="397">
        <f>+LATrackerALL!C304</f>
        <v>0</v>
      </c>
      <c r="E303" s="398">
        <f>+LATrackerALL!D304</f>
        <v>1.9999999999999998</v>
      </c>
      <c r="F303" s="391"/>
      <c r="G303" s="391"/>
      <c r="H303" s="392"/>
      <c r="I303" s="391"/>
      <c r="J303" s="391"/>
      <c r="K303" s="392"/>
      <c r="L303" s="391"/>
      <c r="M303" s="391"/>
      <c r="N303" s="391"/>
    </row>
    <row r="304" spans="1:14" ht="16.55" hidden="1" customHeight="1" thickBot="1" x14ac:dyDescent="0.35">
      <c r="A304" s="378" t="str">
        <f t="shared" ca="1" si="4"/>
        <v/>
      </c>
      <c r="B304" s="395">
        <f>+LATrackerALL!A305</f>
        <v>43033</v>
      </c>
      <c r="C304" s="396">
        <f>+LATrackerALL!E305</f>
        <v>6</v>
      </c>
      <c r="D304" s="397">
        <f>+LATrackerALL!C305</f>
        <v>0</v>
      </c>
      <c r="E304" s="398">
        <f>+LATrackerALL!D305</f>
        <v>1.9999999999999998</v>
      </c>
      <c r="F304" s="391"/>
      <c r="G304" s="391"/>
      <c r="H304" s="392"/>
      <c r="I304" s="391"/>
      <c r="J304" s="391"/>
      <c r="K304" s="392"/>
      <c r="L304" s="391"/>
      <c r="M304" s="391"/>
      <c r="N304" s="391"/>
    </row>
    <row r="305" spans="1:14" ht="16.55" hidden="1" customHeight="1" thickBot="1" x14ac:dyDescent="0.35">
      <c r="A305" s="378" t="str">
        <f t="shared" ca="1" si="4"/>
        <v/>
      </c>
      <c r="B305" s="395">
        <f>+LATrackerALL!A306</f>
        <v>43034</v>
      </c>
      <c r="C305" s="396">
        <f>+LATrackerALL!E306</f>
        <v>6</v>
      </c>
      <c r="D305" s="397">
        <f>+LATrackerALL!C306</f>
        <v>0</v>
      </c>
      <c r="E305" s="398">
        <f>+LATrackerALL!D306</f>
        <v>1.9999999999999998</v>
      </c>
      <c r="F305" s="391"/>
      <c r="G305" s="391"/>
      <c r="H305" s="392"/>
      <c r="I305" s="391"/>
      <c r="J305" s="391"/>
      <c r="K305" s="392"/>
      <c r="L305" s="391"/>
      <c r="M305" s="391"/>
      <c r="N305" s="391"/>
    </row>
    <row r="306" spans="1:14" ht="16.55" hidden="1" customHeight="1" thickBot="1" x14ac:dyDescent="0.35">
      <c r="A306" s="378" t="str">
        <f t="shared" ca="1" si="4"/>
        <v/>
      </c>
      <c r="B306" s="395">
        <f>+LATrackerALL!A307</f>
        <v>43035</v>
      </c>
      <c r="C306" s="396">
        <f>+LATrackerALL!E307</f>
        <v>6</v>
      </c>
      <c r="D306" s="397">
        <f>+LATrackerALL!C307</f>
        <v>0</v>
      </c>
      <c r="E306" s="398">
        <f>+LATrackerALL!D307</f>
        <v>1.9999999999999998</v>
      </c>
      <c r="F306" s="391"/>
      <c r="G306" s="391"/>
      <c r="H306" s="392"/>
      <c r="I306" s="391"/>
      <c r="J306" s="391"/>
      <c r="K306" s="392"/>
      <c r="L306" s="391"/>
      <c r="M306" s="391"/>
      <c r="N306" s="391"/>
    </row>
    <row r="307" spans="1:14" ht="16.55" hidden="1" customHeight="1" thickBot="1" x14ac:dyDescent="0.35">
      <c r="A307" s="378" t="str">
        <f t="shared" ca="1" si="4"/>
        <v/>
      </c>
      <c r="B307" s="395">
        <f>+LATrackerALL!A308</f>
        <v>43036</v>
      </c>
      <c r="C307" s="396">
        <f>+LATrackerALL!E308</f>
        <v>6</v>
      </c>
      <c r="D307" s="397">
        <f>+LATrackerALL!C308</f>
        <v>0</v>
      </c>
      <c r="E307" s="398">
        <f>+LATrackerALL!D308</f>
        <v>1.9999999999999998</v>
      </c>
      <c r="F307" s="391"/>
      <c r="G307" s="391"/>
      <c r="H307" s="392"/>
      <c r="I307" s="391"/>
      <c r="J307" s="391"/>
      <c r="K307" s="392"/>
      <c r="L307" s="391"/>
      <c r="M307" s="391"/>
      <c r="N307" s="391"/>
    </row>
    <row r="308" spans="1:14" ht="16.55" hidden="1" customHeight="1" thickBot="1" x14ac:dyDescent="0.35">
      <c r="A308" s="378" t="str">
        <f t="shared" ca="1" si="4"/>
        <v/>
      </c>
      <c r="B308" s="395">
        <f>+LATrackerALL!A309</f>
        <v>43037</v>
      </c>
      <c r="C308" s="396">
        <f>+LATrackerALL!E309</f>
        <v>6</v>
      </c>
      <c r="D308" s="397">
        <f>+LATrackerALL!C309</f>
        <v>0</v>
      </c>
      <c r="E308" s="398">
        <f>+LATrackerALL!D309</f>
        <v>1.9999999999999998</v>
      </c>
      <c r="F308" s="391"/>
      <c r="G308" s="391"/>
      <c r="H308" s="392"/>
      <c r="I308" s="391"/>
      <c r="J308" s="391"/>
      <c r="K308" s="392"/>
      <c r="L308" s="391"/>
      <c r="M308" s="391"/>
      <c r="N308" s="391"/>
    </row>
    <row r="309" spans="1:14" ht="16.55" hidden="1" customHeight="1" thickBot="1" x14ac:dyDescent="0.35">
      <c r="A309" s="378" t="str">
        <f t="shared" ca="1" si="4"/>
        <v/>
      </c>
      <c r="B309" s="395">
        <f>+LATrackerALL!A310</f>
        <v>43038</v>
      </c>
      <c r="C309" s="396">
        <f>+LATrackerALL!E310</f>
        <v>6</v>
      </c>
      <c r="D309" s="397">
        <f>+LATrackerALL!C310</f>
        <v>0</v>
      </c>
      <c r="E309" s="398">
        <f>+LATrackerALL!D310</f>
        <v>1.9999999999999998</v>
      </c>
      <c r="F309" s="391"/>
      <c r="G309" s="391"/>
      <c r="H309" s="392"/>
      <c r="I309" s="391"/>
      <c r="J309" s="391"/>
      <c r="K309" s="392"/>
      <c r="L309" s="391"/>
      <c r="M309" s="391"/>
      <c r="N309" s="391"/>
    </row>
    <row r="310" spans="1:14" ht="16.55" hidden="1" customHeight="1" thickBot="1" x14ac:dyDescent="0.35">
      <c r="A310" s="378" t="str">
        <f t="shared" ca="1" si="4"/>
        <v/>
      </c>
      <c r="B310" s="395">
        <f>+LATrackerALL!A311</f>
        <v>43039</v>
      </c>
      <c r="C310" s="396">
        <f>+LATrackerALL!E311</f>
        <v>6</v>
      </c>
      <c r="D310" s="397">
        <f>+LATrackerALL!C311</f>
        <v>0</v>
      </c>
      <c r="E310" s="398">
        <f>+LATrackerALL!D311</f>
        <v>1.9999999999999998</v>
      </c>
      <c r="F310" s="391"/>
      <c r="G310" s="391"/>
      <c r="H310" s="392"/>
      <c r="I310" s="391"/>
      <c r="J310" s="391"/>
      <c r="K310" s="392"/>
      <c r="L310" s="391"/>
      <c r="M310" s="391"/>
      <c r="N310" s="391"/>
    </row>
    <row r="311" spans="1:14" ht="16.55" hidden="1" customHeight="1" thickBot="1" x14ac:dyDescent="0.35">
      <c r="A311" s="378" t="str">
        <f t="shared" ca="1" si="4"/>
        <v/>
      </c>
      <c r="B311" s="395">
        <f>+LATrackerALL!A312</f>
        <v>43040</v>
      </c>
      <c r="C311" s="396">
        <f>+LATrackerALL!E312</f>
        <v>6</v>
      </c>
      <c r="D311" s="397">
        <f>+LATrackerALL!C312</f>
        <v>0</v>
      </c>
      <c r="E311" s="398">
        <f>+LATrackerALL!D312</f>
        <v>1.9999999999999998</v>
      </c>
      <c r="F311" s="391"/>
      <c r="G311" s="391"/>
      <c r="H311" s="392"/>
      <c r="I311" s="391"/>
      <c r="J311" s="391"/>
      <c r="K311" s="392"/>
      <c r="L311" s="391"/>
      <c r="M311" s="391"/>
      <c r="N311" s="391"/>
    </row>
    <row r="312" spans="1:14" ht="16.55" hidden="1" customHeight="1" thickBot="1" x14ac:dyDescent="0.35">
      <c r="A312" s="378" t="str">
        <f t="shared" ca="1" si="4"/>
        <v/>
      </c>
      <c r="B312" s="395">
        <f>+LATrackerALL!A313</f>
        <v>43041</v>
      </c>
      <c r="C312" s="396">
        <f>+LATrackerALL!E313</f>
        <v>6</v>
      </c>
      <c r="D312" s="397">
        <f>+LATrackerALL!C313</f>
        <v>0</v>
      </c>
      <c r="E312" s="398">
        <f>+LATrackerALL!D313</f>
        <v>1.9999999999999998</v>
      </c>
      <c r="F312" s="391"/>
      <c r="G312" s="391"/>
      <c r="H312" s="392"/>
      <c r="I312" s="391"/>
      <c r="J312" s="391"/>
      <c r="K312" s="392"/>
      <c r="L312" s="391"/>
      <c r="M312" s="391"/>
      <c r="N312" s="391"/>
    </row>
    <row r="313" spans="1:14" ht="16.55" hidden="1" customHeight="1" thickBot="1" x14ac:dyDescent="0.35">
      <c r="A313" s="378" t="str">
        <f t="shared" ca="1" si="4"/>
        <v/>
      </c>
      <c r="B313" s="395">
        <f>+LATrackerALL!A314</f>
        <v>43042</v>
      </c>
      <c r="C313" s="396">
        <f>+LATrackerALL!E314</f>
        <v>6</v>
      </c>
      <c r="D313" s="397">
        <f>+LATrackerALL!C314</f>
        <v>0</v>
      </c>
      <c r="E313" s="398">
        <f>+LATrackerALL!D314</f>
        <v>1.9999999999999998</v>
      </c>
      <c r="F313" s="391"/>
      <c r="G313" s="391"/>
      <c r="H313" s="392"/>
      <c r="I313" s="391"/>
      <c r="J313" s="391"/>
      <c r="K313" s="392"/>
      <c r="L313" s="391"/>
      <c r="M313" s="391"/>
      <c r="N313" s="391"/>
    </row>
    <row r="314" spans="1:14" ht="16.55" hidden="1" customHeight="1" thickBot="1" x14ac:dyDescent="0.35">
      <c r="A314" s="378" t="str">
        <f t="shared" ca="1" si="4"/>
        <v/>
      </c>
      <c r="B314" s="395">
        <f>+LATrackerALL!A315</f>
        <v>43043</v>
      </c>
      <c r="C314" s="396">
        <f>+LATrackerALL!E315</f>
        <v>6</v>
      </c>
      <c r="D314" s="397">
        <f>+LATrackerALL!C315</f>
        <v>0</v>
      </c>
      <c r="E314" s="398">
        <f>+LATrackerALL!D315</f>
        <v>1.9999999999999998</v>
      </c>
      <c r="F314" s="391"/>
      <c r="G314" s="391"/>
      <c r="H314" s="392"/>
      <c r="I314" s="391"/>
      <c r="J314" s="391"/>
      <c r="K314" s="392"/>
      <c r="L314" s="391"/>
      <c r="M314" s="391"/>
      <c r="N314" s="391"/>
    </row>
    <row r="315" spans="1:14" ht="16.55" hidden="1" customHeight="1" thickBot="1" x14ac:dyDescent="0.35">
      <c r="A315" s="378" t="str">
        <f t="shared" ca="1" si="4"/>
        <v/>
      </c>
      <c r="B315" s="395">
        <f>+LATrackerALL!A316</f>
        <v>43044</v>
      </c>
      <c r="C315" s="396">
        <f>+LATrackerALL!E316</f>
        <v>6</v>
      </c>
      <c r="D315" s="397">
        <f>+LATrackerALL!C316</f>
        <v>0</v>
      </c>
      <c r="E315" s="398">
        <f>+LATrackerALL!D316</f>
        <v>1.9999999999999998</v>
      </c>
      <c r="F315" s="391"/>
      <c r="G315" s="391"/>
      <c r="H315" s="392"/>
      <c r="I315" s="391"/>
      <c r="J315" s="391"/>
      <c r="K315" s="392"/>
      <c r="L315" s="391"/>
      <c r="M315" s="391"/>
      <c r="N315" s="391"/>
    </row>
    <row r="316" spans="1:14" ht="16.55" hidden="1" customHeight="1" thickBot="1" x14ac:dyDescent="0.35">
      <c r="A316" s="378" t="str">
        <f t="shared" ca="1" si="4"/>
        <v/>
      </c>
      <c r="B316" s="395">
        <f>+LATrackerALL!A317</f>
        <v>43045</v>
      </c>
      <c r="C316" s="396">
        <f>+LATrackerALL!E317</f>
        <v>6</v>
      </c>
      <c r="D316" s="397">
        <f>+LATrackerALL!C317</f>
        <v>0</v>
      </c>
      <c r="E316" s="398">
        <f>+LATrackerALL!D317</f>
        <v>1.9999999999999998</v>
      </c>
      <c r="F316" s="391"/>
      <c r="G316" s="391"/>
      <c r="H316" s="392"/>
      <c r="I316" s="391"/>
      <c r="J316" s="391"/>
      <c r="K316" s="392"/>
      <c r="L316" s="391"/>
      <c r="M316" s="391"/>
      <c r="N316" s="391"/>
    </row>
    <row r="317" spans="1:14" ht="16.55" customHeight="1" thickBot="1" x14ac:dyDescent="0.35">
      <c r="A317" s="378" t="str">
        <f t="shared" ca="1" si="4"/>
        <v/>
      </c>
      <c r="B317" s="395">
        <f>+LATrackerALL!A318</f>
        <v>43046</v>
      </c>
      <c r="C317" s="396">
        <f>+LATrackerALL!E318</f>
        <v>6</v>
      </c>
      <c r="D317" s="397">
        <f>+LATrackerALL!C318</f>
        <v>0</v>
      </c>
      <c r="E317" s="398">
        <f>+LATrackerALL!D318</f>
        <v>1.9999999999999998</v>
      </c>
      <c r="F317" s="391"/>
      <c r="G317" s="391"/>
      <c r="H317" s="392"/>
      <c r="I317" s="391"/>
      <c r="J317" s="391"/>
      <c r="K317" s="392"/>
      <c r="L317" s="391"/>
      <c r="M317" s="391"/>
      <c r="N317" s="391"/>
    </row>
    <row r="318" spans="1:14" ht="16.55" hidden="1" customHeight="1" thickBot="1" x14ac:dyDescent="0.35">
      <c r="A318" s="378" t="str">
        <f t="shared" ca="1" si="4"/>
        <v/>
      </c>
      <c r="B318" s="395">
        <f>+LATrackerALL!A319</f>
        <v>43047</v>
      </c>
      <c r="C318" s="396">
        <f>+LATrackerALL!E319</f>
        <v>6</v>
      </c>
      <c r="D318" s="397">
        <f>+LATrackerALL!C319</f>
        <v>0</v>
      </c>
      <c r="E318" s="398">
        <f>+LATrackerALL!D319</f>
        <v>1.9999999999999998</v>
      </c>
      <c r="F318" s="391"/>
      <c r="G318" s="391"/>
      <c r="H318" s="392"/>
      <c r="I318" s="391"/>
      <c r="J318" s="391"/>
      <c r="K318" s="392"/>
      <c r="L318" s="391"/>
      <c r="M318" s="391"/>
      <c r="N318" s="391"/>
    </row>
    <row r="319" spans="1:14" ht="16.55" hidden="1" customHeight="1" thickBot="1" x14ac:dyDescent="0.35">
      <c r="A319" s="378" t="str">
        <f t="shared" ca="1" si="4"/>
        <v/>
      </c>
      <c r="B319" s="395">
        <f>+LATrackerALL!A320</f>
        <v>43048</v>
      </c>
      <c r="C319" s="396">
        <f>+LATrackerALL!E320</f>
        <v>6</v>
      </c>
      <c r="D319" s="397">
        <f>+LATrackerALL!C320</f>
        <v>0</v>
      </c>
      <c r="E319" s="398">
        <f>+LATrackerALL!D320</f>
        <v>1.9999999999999998</v>
      </c>
      <c r="F319" s="391"/>
      <c r="G319" s="391"/>
      <c r="H319" s="392"/>
      <c r="I319" s="391"/>
      <c r="J319" s="391"/>
      <c r="K319" s="392"/>
      <c r="L319" s="391"/>
      <c r="M319" s="391"/>
      <c r="N319" s="391"/>
    </row>
    <row r="320" spans="1:14" ht="16.55" hidden="1" customHeight="1" thickBot="1" x14ac:dyDescent="0.35">
      <c r="A320" s="378" t="str">
        <f t="shared" ca="1" si="4"/>
        <v/>
      </c>
      <c r="B320" s="395">
        <f>+LATrackerALL!A321</f>
        <v>43049</v>
      </c>
      <c r="C320" s="396">
        <f>+LATrackerALL!E321</f>
        <v>7</v>
      </c>
      <c r="D320" s="397">
        <f>+LATrackerALL!C321</f>
        <v>0.33333333333333331</v>
      </c>
      <c r="E320" s="398">
        <f>+LATrackerALL!D321</f>
        <v>2.333333333333333</v>
      </c>
      <c r="F320" s="391"/>
      <c r="G320" s="391"/>
      <c r="H320" s="392"/>
      <c r="I320" s="391"/>
      <c r="J320" s="391"/>
      <c r="K320" s="392"/>
      <c r="L320" s="391"/>
      <c r="M320" s="391"/>
      <c r="N320" s="391"/>
    </row>
    <row r="321" spans="1:14" ht="16.55" hidden="1" customHeight="1" thickBot="1" x14ac:dyDescent="0.35">
      <c r="A321" s="378" t="str">
        <f t="shared" ca="1" si="4"/>
        <v/>
      </c>
      <c r="B321" s="395">
        <f>+LATrackerALL!A322</f>
        <v>43050</v>
      </c>
      <c r="C321" s="396">
        <f>+LATrackerALL!E322</f>
        <v>7</v>
      </c>
      <c r="D321" s="397">
        <f>+LATrackerALL!C322</f>
        <v>0</v>
      </c>
      <c r="E321" s="398">
        <f>+LATrackerALL!D322</f>
        <v>2.333333333333333</v>
      </c>
      <c r="F321" s="391"/>
      <c r="G321" s="391"/>
      <c r="H321" s="392"/>
      <c r="I321" s="391"/>
      <c r="J321" s="391"/>
      <c r="K321" s="392"/>
      <c r="L321" s="391"/>
      <c r="M321" s="391"/>
      <c r="N321" s="391"/>
    </row>
    <row r="322" spans="1:14" ht="16.55" hidden="1" customHeight="1" thickBot="1" x14ac:dyDescent="0.35">
      <c r="A322" s="378" t="str">
        <f t="shared" ca="1" si="4"/>
        <v/>
      </c>
      <c r="B322" s="395">
        <f>+LATrackerALL!A323</f>
        <v>43051</v>
      </c>
      <c r="C322" s="396">
        <f>+LATrackerALL!E323</f>
        <v>7</v>
      </c>
      <c r="D322" s="397">
        <f>+LATrackerALL!C323</f>
        <v>0</v>
      </c>
      <c r="E322" s="398">
        <f>+LATrackerALL!D323</f>
        <v>2.333333333333333</v>
      </c>
      <c r="F322" s="391"/>
      <c r="G322" s="391"/>
      <c r="H322" s="392"/>
      <c r="I322" s="391"/>
      <c r="J322" s="391"/>
      <c r="K322" s="392"/>
      <c r="L322" s="391"/>
      <c r="M322" s="391"/>
      <c r="N322" s="391"/>
    </row>
    <row r="323" spans="1:14" ht="16.55" hidden="1" customHeight="1" thickBot="1" x14ac:dyDescent="0.35">
      <c r="A323" s="378" t="str">
        <f t="shared" ca="1" si="4"/>
        <v/>
      </c>
      <c r="B323" s="395">
        <f>+LATrackerALL!A324</f>
        <v>43052</v>
      </c>
      <c r="C323" s="396">
        <f>+LATrackerALL!E324</f>
        <v>7</v>
      </c>
      <c r="D323" s="397">
        <f>+LATrackerALL!C324</f>
        <v>0</v>
      </c>
      <c r="E323" s="398">
        <f>+LATrackerALL!D324</f>
        <v>2.333333333333333</v>
      </c>
      <c r="F323" s="391"/>
      <c r="G323" s="391"/>
      <c r="H323" s="392"/>
      <c r="I323" s="391"/>
      <c r="J323" s="391"/>
      <c r="K323" s="392"/>
      <c r="L323" s="391"/>
      <c r="M323" s="391"/>
      <c r="N323" s="391"/>
    </row>
    <row r="324" spans="1:14" ht="16.55" hidden="1" customHeight="1" thickBot="1" x14ac:dyDescent="0.35">
      <c r="A324" s="378" t="str">
        <f t="shared" ca="1" si="4"/>
        <v/>
      </c>
      <c r="B324" s="395">
        <f>+LATrackerALL!A325</f>
        <v>43053</v>
      </c>
      <c r="C324" s="396">
        <f>+LATrackerALL!E325</f>
        <v>7</v>
      </c>
      <c r="D324" s="397">
        <f>+LATrackerALL!C325</f>
        <v>0</v>
      </c>
      <c r="E324" s="398">
        <f>+LATrackerALL!D325</f>
        <v>2.333333333333333</v>
      </c>
      <c r="F324" s="391"/>
      <c r="G324" s="391"/>
      <c r="H324" s="392"/>
      <c r="I324" s="391"/>
      <c r="J324" s="391"/>
      <c r="K324" s="392"/>
      <c r="L324" s="391"/>
      <c r="M324" s="391"/>
      <c r="N324" s="391"/>
    </row>
    <row r="325" spans="1:14" ht="16.55" hidden="1" customHeight="1" thickBot="1" x14ac:dyDescent="0.35">
      <c r="A325" s="378" t="str">
        <f t="shared" ca="1" si="4"/>
        <v/>
      </c>
      <c r="B325" s="395">
        <f>+LATrackerALL!A326</f>
        <v>43054</v>
      </c>
      <c r="C325" s="396">
        <f>+LATrackerALL!E326</f>
        <v>7</v>
      </c>
      <c r="D325" s="397">
        <f>+LATrackerALL!C326</f>
        <v>0</v>
      </c>
      <c r="E325" s="398">
        <f>+LATrackerALL!D326</f>
        <v>2.333333333333333</v>
      </c>
      <c r="F325" s="391"/>
      <c r="G325" s="391"/>
      <c r="H325" s="392"/>
      <c r="I325" s="391"/>
      <c r="J325" s="391"/>
      <c r="K325" s="392"/>
      <c r="L325" s="391"/>
      <c r="M325" s="391"/>
      <c r="N325" s="391"/>
    </row>
    <row r="326" spans="1:14" ht="16.55" hidden="1" customHeight="1" thickBot="1" x14ac:dyDescent="0.35">
      <c r="A326" s="378" t="str">
        <f t="shared" ca="1" si="4"/>
        <v/>
      </c>
      <c r="B326" s="395">
        <f>+LATrackerALL!A327</f>
        <v>43055</v>
      </c>
      <c r="C326" s="396">
        <f>+LATrackerALL!E327</f>
        <v>7</v>
      </c>
      <c r="D326" s="397">
        <f>+LATrackerALL!C327</f>
        <v>0</v>
      </c>
      <c r="E326" s="398">
        <f>+LATrackerALL!D327</f>
        <v>2.333333333333333</v>
      </c>
      <c r="F326" s="391"/>
      <c r="G326" s="391"/>
      <c r="H326" s="392"/>
      <c r="I326" s="391"/>
      <c r="J326" s="391"/>
      <c r="K326" s="392"/>
      <c r="L326" s="391"/>
      <c r="M326" s="391"/>
      <c r="N326" s="391"/>
    </row>
    <row r="327" spans="1:14" ht="16.55" customHeight="1" thickBot="1" x14ac:dyDescent="0.35">
      <c r="A327" s="378" t="str">
        <f t="shared" ca="1" si="4"/>
        <v/>
      </c>
      <c r="B327" s="395">
        <f>+LATrackerALL!A328</f>
        <v>43056</v>
      </c>
      <c r="C327" s="396">
        <f>+LATrackerALL!E328</f>
        <v>7</v>
      </c>
      <c r="D327" s="397">
        <f>+LATrackerALL!C328</f>
        <v>0</v>
      </c>
      <c r="E327" s="398">
        <f>+LATrackerALL!D328</f>
        <v>2.333333333333333</v>
      </c>
      <c r="F327" s="391"/>
      <c r="G327" s="391"/>
      <c r="H327" s="392"/>
      <c r="I327" s="391"/>
      <c r="J327" s="391"/>
      <c r="K327" s="392"/>
      <c r="L327" s="391"/>
      <c r="M327" s="391"/>
      <c r="N327" s="391"/>
    </row>
    <row r="328" spans="1:14" ht="16.55" hidden="1" customHeight="1" thickBot="1" x14ac:dyDescent="0.35">
      <c r="A328" s="378" t="str">
        <f t="shared" ca="1" si="4"/>
        <v/>
      </c>
      <c r="B328" s="395">
        <f>+LATrackerALL!A329</f>
        <v>43057</v>
      </c>
      <c r="C328" s="396">
        <f>+LATrackerALL!E329</f>
        <v>7</v>
      </c>
      <c r="D328" s="397">
        <f>+LATrackerALL!C329</f>
        <v>0</v>
      </c>
      <c r="E328" s="398">
        <f>+LATrackerALL!D329</f>
        <v>2.333333333333333</v>
      </c>
      <c r="F328" s="391"/>
      <c r="G328" s="391"/>
      <c r="H328" s="392"/>
      <c r="I328" s="391"/>
      <c r="J328" s="391"/>
      <c r="K328" s="392"/>
      <c r="L328" s="391"/>
      <c r="M328" s="391"/>
      <c r="N328" s="391"/>
    </row>
    <row r="329" spans="1:14" ht="16.55" hidden="1" customHeight="1" thickBot="1" x14ac:dyDescent="0.35">
      <c r="A329" s="378" t="str">
        <f t="shared" ref="A329:A372" ca="1" si="5">IF(TODAY()&gt;=B329,"==&gt;","")</f>
        <v/>
      </c>
      <c r="B329" s="395">
        <f>+LATrackerALL!A330</f>
        <v>43058</v>
      </c>
      <c r="C329" s="396">
        <f>+LATrackerALL!E330</f>
        <v>7</v>
      </c>
      <c r="D329" s="397">
        <f>+LATrackerALL!C330</f>
        <v>0</v>
      </c>
      <c r="E329" s="398">
        <f>+LATrackerALL!D330</f>
        <v>2.333333333333333</v>
      </c>
      <c r="F329" s="391"/>
      <c r="G329" s="391"/>
      <c r="H329" s="392"/>
      <c r="I329" s="391"/>
      <c r="J329" s="391"/>
      <c r="K329" s="392"/>
      <c r="L329" s="391"/>
      <c r="M329" s="391"/>
      <c r="N329" s="391"/>
    </row>
    <row r="330" spans="1:14" ht="16.55" hidden="1" customHeight="1" thickBot="1" x14ac:dyDescent="0.35">
      <c r="A330" s="378" t="str">
        <f t="shared" ca="1" si="5"/>
        <v/>
      </c>
      <c r="B330" s="395">
        <f>+LATrackerALL!A331</f>
        <v>43059</v>
      </c>
      <c r="C330" s="396">
        <f>+LATrackerALL!E331</f>
        <v>7</v>
      </c>
      <c r="D330" s="397">
        <f>+LATrackerALL!C331</f>
        <v>0</v>
      </c>
      <c r="E330" s="398">
        <f>+LATrackerALL!D331</f>
        <v>2.333333333333333</v>
      </c>
      <c r="F330" s="391"/>
      <c r="G330" s="391"/>
      <c r="H330" s="392"/>
      <c r="I330" s="391"/>
      <c r="J330" s="391"/>
      <c r="K330" s="392"/>
      <c r="L330" s="391"/>
      <c r="M330" s="391"/>
      <c r="N330" s="391"/>
    </row>
    <row r="331" spans="1:14" ht="16.55" hidden="1" customHeight="1" thickBot="1" x14ac:dyDescent="0.35">
      <c r="A331" s="378" t="str">
        <f t="shared" ca="1" si="5"/>
        <v/>
      </c>
      <c r="B331" s="395">
        <f>+LATrackerALL!A332</f>
        <v>43060</v>
      </c>
      <c r="C331" s="396">
        <f>+LATrackerALL!E332</f>
        <v>7</v>
      </c>
      <c r="D331" s="397">
        <f>+LATrackerALL!C332</f>
        <v>0</v>
      </c>
      <c r="E331" s="398">
        <f>+LATrackerALL!D332</f>
        <v>2.333333333333333</v>
      </c>
      <c r="F331" s="391"/>
      <c r="G331" s="391"/>
      <c r="H331" s="392"/>
      <c r="I331" s="391"/>
      <c r="J331" s="391"/>
      <c r="K331" s="392"/>
      <c r="L331" s="391"/>
      <c r="M331" s="391"/>
      <c r="N331" s="391"/>
    </row>
    <row r="332" spans="1:14" ht="16.55" hidden="1" customHeight="1" thickBot="1" x14ac:dyDescent="0.35">
      <c r="A332" s="378" t="str">
        <f t="shared" ca="1" si="5"/>
        <v/>
      </c>
      <c r="B332" s="395">
        <f>+LATrackerALL!A333</f>
        <v>43061</v>
      </c>
      <c r="C332" s="396">
        <f>+LATrackerALL!E333</f>
        <v>7</v>
      </c>
      <c r="D332" s="397">
        <f>+LATrackerALL!C333</f>
        <v>0</v>
      </c>
      <c r="E332" s="398">
        <f>+LATrackerALL!D333</f>
        <v>2.333333333333333</v>
      </c>
      <c r="F332" s="391"/>
      <c r="G332" s="391"/>
      <c r="H332" s="392"/>
      <c r="I332" s="391"/>
      <c r="J332" s="391"/>
      <c r="K332" s="392"/>
      <c r="L332" s="391"/>
      <c r="M332" s="391"/>
      <c r="N332" s="391"/>
    </row>
    <row r="333" spans="1:14" ht="16.55" hidden="1" customHeight="1" thickBot="1" x14ac:dyDescent="0.35">
      <c r="A333" s="378" t="str">
        <f t="shared" ca="1" si="5"/>
        <v/>
      </c>
      <c r="B333" s="395">
        <f>+LATrackerALL!A334</f>
        <v>43062</v>
      </c>
      <c r="C333" s="396">
        <f>+LATrackerALL!E334</f>
        <v>7</v>
      </c>
      <c r="D333" s="397">
        <f>+LATrackerALL!C334</f>
        <v>0</v>
      </c>
      <c r="E333" s="398">
        <f>+LATrackerALL!D334</f>
        <v>2.333333333333333</v>
      </c>
      <c r="F333" s="391"/>
      <c r="G333" s="391"/>
      <c r="H333" s="392"/>
      <c r="I333" s="391"/>
      <c r="J333" s="391"/>
      <c r="K333" s="392"/>
      <c r="L333" s="391"/>
      <c r="M333" s="391"/>
      <c r="N333" s="391"/>
    </row>
    <row r="334" spans="1:14" ht="16.55" hidden="1" customHeight="1" thickBot="1" x14ac:dyDescent="0.35">
      <c r="A334" s="378" t="str">
        <f t="shared" ca="1" si="5"/>
        <v/>
      </c>
      <c r="B334" s="395">
        <f>+LATrackerALL!A335</f>
        <v>43063</v>
      </c>
      <c r="C334" s="396">
        <f>+LATrackerALL!E335</f>
        <v>8</v>
      </c>
      <c r="D334" s="397">
        <f>+LATrackerALL!C335</f>
        <v>0.33333333333333331</v>
      </c>
      <c r="E334" s="398">
        <f>+LATrackerALL!D335</f>
        <v>2.6666666666666665</v>
      </c>
      <c r="F334" s="391"/>
      <c r="G334" s="391"/>
      <c r="H334" s="392"/>
      <c r="I334" s="391"/>
      <c r="J334" s="391"/>
      <c r="K334" s="392"/>
      <c r="L334" s="391"/>
      <c r="M334" s="391"/>
      <c r="N334" s="391"/>
    </row>
    <row r="335" spans="1:14" ht="16.55" hidden="1" customHeight="1" thickBot="1" x14ac:dyDescent="0.35">
      <c r="A335" s="378" t="str">
        <f t="shared" ca="1" si="5"/>
        <v/>
      </c>
      <c r="B335" s="395">
        <f>+LATrackerALL!A336</f>
        <v>43064</v>
      </c>
      <c r="C335" s="396">
        <f>+LATrackerALL!E336</f>
        <v>8</v>
      </c>
      <c r="D335" s="397">
        <f>+LATrackerALL!C336</f>
        <v>0</v>
      </c>
      <c r="E335" s="398">
        <f>+LATrackerALL!D336</f>
        <v>2.6666666666666665</v>
      </c>
      <c r="F335" s="391"/>
      <c r="G335" s="391"/>
      <c r="H335" s="392"/>
      <c r="I335" s="391"/>
      <c r="J335" s="391"/>
      <c r="K335" s="392"/>
      <c r="L335" s="391"/>
      <c r="M335" s="391"/>
      <c r="N335" s="391"/>
    </row>
    <row r="336" spans="1:14" ht="16.55" hidden="1" customHeight="1" thickBot="1" x14ac:dyDescent="0.35">
      <c r="A336" s="378" t="str">
        <f t="shared" ca="1" si="5"/>
        <v/>
      </c>
      <c r="B336" s="395">
        <f>+LATrackerALL!A337</f>
        <v>43065</v>
      </c>
      <c r="C336" s="396">
        <f>+LATrackerALL!E337</f>
        <v>8</v>
      </c>
      <c r="D336" s="397">
        <f>+LATrackerALL!C337</f>
        <v>0</v>
      </c>
      <c r="E336" s="398">
        <f>+LATrackerALL!D337</f>
        <v>2.6666666666666665</v>
      </c>
      <c r="F336" s="391"/>
      <c r="G336" s="391"/>
      <c r="H336" s="392"/>
      <c r="I336" s="391"/>
      <c r="J336" s="391"/>
      <c r="K336" s="392"/>
      <c r="L336" s="391"/>
      <c r="M336" s="391"/>
      <c r="N336" s="391"/>
    </row>
    <row r="337" spans="1:14" ht="16.55" hidden="1" customHeight="1" thickBot="1" x14ac:dyDescent="0.35">
      <c r="A337" s="378" t="str">
        <f t="shared" ca="1" si="5"/>
        <v/>
      </c>
      <c r="B337" s="395">
        <f>+LATrackerALL!A338</f>
        <v>43066</v>
      </c>
      <c r="C337" s="396">
        <f>+LATrackerALL!E338</f>
        <v>8</v>
      </c>
      <c r="D337" s="397">
        <f>+LATrackerALL!C338</f>
        <v>0</v>
      </c>
      <c r="E337" s="398">
        <f>+LATrackerALL!D338</f>
        <v>2.6666666666666665</v>
      </c>
      <c r="F337" s="391"/>
      <c r="G337" s="391"/>
      <c r="H337" s="392"/>
      <c r="I337" s="391"/>
      <c r="J337" s="391"/>
      <c r="K337" s="392"/>
      <c r="L337" s="391"/>
      <c r="M337" s="391"/>
      <c r="N337" s="391"/>
    </row>
    <row r="338" spans="1:14" ht="16.55" hidden="1" customHeight="1" thickBot="1" x14ac:dyDescent="0.35">
      <c r="A338" s="378" t="str">
        <f t="shared" ca="1" si="5"/>
        <v/>
      </c>
      <c r="B338" s="395">
        <f>+LATrackerALL!A339</f>
        <v>43067</v>
      </c>
      <c r="C338" s="396">
        <f>+LATrackerALL!E339</f>
        <v>8</v>
      </c>
      <c r="D338" s="397">
        <f>+LATrackerALL!C339</f>
        <v>0</v>
      </c>
      <c r="E338" s="398">
        <f>+LATrackerALL!D339</f>
        <v>2.6666666666666665</v>
      </c>
      <c r="F338" s="391"/>
      <c r="G338" s="391"/>
      <c r="H338" s="392"/>
      <c r="I338" s="391"/>
      <c r="J338" s="391"/>
      <c r="K338" s="392"/>
      <c r="L338" s="391"/>
      <c r="M338" s="391"/>
      <c r="N338" s="391"/>
    </row>
    <row r="339" spans="1:14" ht="16.55" hidden="1" customHeight="1" thickBot="1" x14ac:dyDescent="0.35">
      <c r="A339" s="378" t="str">
        <f t="shared" ca="1" si="5"/>
        <v/>
      </c>
      <c r="B339" s="395">
        <f>+LATrackerALL!A340</f>
        <v>43068</v>
      </c>
      <c r="C339" s="396">
        <f>+LATrackerALL!E340</f>
        <v>8</v>
      </c>
      <c r="D339" s="397">
        <f>+LATrackerALL!C340</f>
        <v>0</v>
      </c>
      <c r="E339" s="398">
        <f>+LATrackerALL!D340</f>
        <v>2.6666666666666665</v>
      </c>
      <c r="F339" s="391"/>
      <c r="G339" s="391"/>
      <c r="H339" s="392"/>
      <c r="I339" s="391"/>
      <c r="J339" s="391"/>
      <c r="K339" s="392"/>
      <c r="L339" s="391"/>
      <c r="M339" s="391"/>
      <c r="N339" s="391"/>
    </row>
    <row r="340" spans="1:14" ht="16.55" hidden="1" customHeight="1" thickBot="1" x14ac:dyDescent="0.35">
      <c r="A340" s="378" t="str">
        <f t="shared" ca="1" si="5"/>
        <v/>
      </c>
      <c r="B340" s="395">
        <f>+LATrackerALL!A341</f>
        <v>43069</v>
      </c>
      <c r="C340" s="396">
        <f>+LATrackerALL!E341</f>
        <v>8</v>
      </c>
      <c r="D340" s="397">
        <f>+LATrackerALL!C341</f>
        <v>0</v>
      </c>
      <c r="E340" s="398">
        <f>+LATrackerALL!D341</f>
        <v>2.6666666666666665</v>
      </c>
      <c r="F340" s="391"/>
      <c r="G340" s="391"/>
      <c r="H340" s="392"/>
      <c r="I340" s="391"/>
      <c r="J340" s="391"/>
      <c r="K340" s="392"/>
      <c r="L340" s="391"/>
      <c r="M340" s="391"/>
      <c r="N340" s="391"/>
    </row>
    <row r="341" spans="1:14" ht="16.55" hidden="1" customHeight="1" thickBot="1" x14ac:dyDescent="0.35">
      <c r="A341" s="378" t="str">
        <f t="shared" ca="1" si="5"/>
        <v/>
      </c>
      <c r="B341" s="395">
        <f>+LATrackerALL!A342</f>
        <v>43070</v>
      </c>
      <c r="C341" s="396">
        <f>+LATrackerALL!E342</f>
        <v>8</v>
      </c>
      <c r="D341" s="397">
        <f>+LATrackerALL!C342</f>
        <v>0</v>
      </c>
      <c r="E341" s="398">
        <f>+LATrackerALL!D342</f>
        <v>2.6666666666666665</v>
      </c>
      <c r="F341" s="391"/>
      <c r="G341" s="391"/>
      <c r="H341" s="392"/>
      <c r="I341" s="391"/>
      <c r="J341" s="391"/>
      <c r="K341" s="392"/>
      <c r="L341" s="391"/>
      <c r="M341" s="391"/>
      <c r="N341" s="391"/>
    </row>
    <row r="342" spans="1:14" ht="16.55" hidden="1" customHeight="1" thickBot="1" x14ac:dyDescent="0.35">
      <c r="A342" s="378" t="str">
        <f t="shared" ca="1" si="5"/>
        <v/>
      </c>
      <c r="B342" s="395">
        <f>+LATrackerALL!A343</f>
        <v>43071</v>
      </c>
      <c r="C342" s="396">
        <f>+LATrackerALL!E343</f>
        <v>8</v>
      </c>
      <c r="D342" s="397">
        <f>+LATrackerALL!C343</f>
        <v>0</v>
      </c>
      <c r="E342" s="398">
        <f>+LATrackerALL!D343</f>
        <v>2.6666666666666665</v>
      </c>
      <c r="F342" s="391"/>
      <c r="G342" s="391"/>
      <c r="H342" s="392"/>
      <c r="I342" s="391"/>
      <c r="J342" s="391"/>
      <c r="K342" s="392"/>
      <c r="L342" s="391"/>
      <c r="M342" s="391"/>
      <c r="N342" s="391"/>
    </row>
    <row r="343" spans="1:14" ht="16.55" hidden="1" customHeight="1" thickBot="1" x14ac:dyDescent="0.35">
      <c r="A343" s="378" t="str">
        <f t="shared" ca="1" si="5"/>
        <v/>
      </c>
      <c r="B343" s="395">
        <f>+LATrackerALL!A344</f>
        <v>43072</v>
      </c>
      <c r="C343" s="396">
        <f>+LATrackerALL!E344</f>
        <v>8</v>
      </c>
      <c r="D343" s="397">
        <f>+LATrackerALL!C344</f>
        <v>0</v>
      </c>
      <c r="E343" s="398">
        <f>+LATrackerALL!D344</f>
        <v>2.6666666666666665</v>
      </c>
      <c r="F343" s="391"/>
      <c r="G343" s="391"/>
      <c r="H343" s="392"/>
      <c r="I343" s="391"/>
      <c r="J343" s="391"/>
      <c r="K343" s="392"/>
      <c r="L343" s="391"/>
      <c r="M343" s="391"/>
      <c r="N343" s="391"/>
    </row>
    <row r="344" spans="1:14" ht="16.55" hidden="1" customHeight="1" thickBot="1" x14ac:dyDescent="0.35">
      <c r="A344" s="378" t="str">
        <f t="shared" ca="1" si="5"/>
        <v/>
      </c>
      <c r="B344" s="395">
        <f>+LATrackerALL!A345</f>
        <v>43073</v>
      </c>
      <c r="C344" s="396">
        <f>+LATrackerALL!E345</f>
        <v>8</v>
      </c>
      <c r="D344" s="397">
        <f>+LATrackerALL!C345</f>
        <v>0</v>
      </c>
      <c r="E344" s="398">
        <f>+LATrackerALL!D345</f>
        <v>2.6666666666666665</v>
      </c>
      <c r="F344" s="391"/>
      <c r="G344" s="391"/>
      <c r="H344" s="392"/>
      <c r="I344" s="391"/>
      <c r="J344" s="391"/>
      <c r="K344" s="392"/>
      <c r="L344" s="391"/>
      <c r="M344" s="391"/>
      <c r="N344" s="391"/>
    </row>
    <row r="345" spans="1:14" ht="16.55" hidden="1" customHeight="1" thickBot="1" x14ac:dyDescent="0.35">
      <c r="A345" s="378" t="str">
        <f t="shared" ca="1" si="5"/>
        <v/>
      </c>
      <c r="B345" s="395">
        <f>+LATrackerALL!A346</f>
        <v>43074</v>
      </c>
      <c r="C345" s="396">
        <f>+LATrackerALL!E346</f>
        <v>8</v>
      </c>
      <c r="D345" s="397">
        <f>+LATrackerALL!C346</f>
        <v>0</v>
      </c>
      <c r="E345" s="398">
        <f>+LATrackerALL!D346</f>
        <v>2.6666666666666665</v>
      </c>
      <c r="F345" s="391"/>
      <c r="G345" s="391"/>
      <c r="H345" s="392"/>
      <c r="I345" s="391"/>
      <c r="J345" s="391"/>
      <c r="K345" s="392"/>
      <c r="L345" s="391"/>
      <c r="M345" s="391"/>
      <c r="N345" s="391"/>
    </row>
    <row r="346" spans="1:14" ht="16.55" hidden="1" customHeight="1" thickBot="1" x14ac:dyDescent="0.35">
      <c r="A346" s="378" t="str">
        <f t="shared" ca="1" si="5"/>
        <v/>
      </c>
      <c r="B346" s="395">
        <f>+LATrackerALL!A347</f>
        <v>43075</v>
      </c>
      <c r="C346" s="396">
        <f>+LATrackerALL!E347</f>
        <v>8</v>
      </c>
      <c r="D346" s="397">
        <f>+LATrackerALL!C347</f>
        <v>0</v>
      </c>
      <c r="E346" s="398">
        <f>+LATrackerALL!D347</f>
        <v>2.6666666666666665</v>
      </c>
      <c r="F346" s="391"/>
      <c r="G346" s="391"/>
      <c r="H346" s="392"/>
      <c r="I346" s="391"/>
      <c r="J346" s="391"/>
      <c r="K346" s="392"/>
      <c r="L346" s="391"/>
      <c r="M346" s="391"/>
      <c r="N346" s="391"/>
    </row>
    <row r="347" spans="1:14" ht="16.55" hidden="1" customHeight="1" thickBot="1" x14ac:dyDescent="0.35">
      <c r="A347" s="378" t="str">
        <f t="shared" ca="1" si="5"/>
        <v/>
      </c>
      <c r="B347" s="395">
        <f>+LATrackerALL!A348</f>
        <v>43076</v>
      </c>
      <c r="C347" s="396">
        <f>+LATrackerALL!E348</f>
        <v>8</v>
      </c>
      <c r="D347" s="397">
        <f>+LATrackerALL!C348</f>
        <v>0</v>
      </c>
      <c r="E347" s="398">
        <f>+LATrackerALL!D348</f>
        <v>2.6666666666666665</v>
      </c>
      <c r="F347" s="391"/>
      <c r="G347" s="391"/>
      <c r="H347" s="392"/>
      <c r="I347" s="391"/>
      <c r="J347" s="391"/>
      <c r="K347" s="392"/>
      <c r="L347" s="391"/>
      <c r="M347" s="391"/>
      <c r="N347" s="391"/>
    </row>
    <row r="348" spans="1:14" ht="16.55" hidden="1" customHeight="1" thickBot="1" x14ac:dyDescent="0.35">
      <c r="A348" s="378" t="str">
        <f t="shared" ca="1" si="5"/>
        <v/>
      </c>
      <c r="B348" s="395">
        <f>+LATrackerALL!A349</f>
        <v>43077</v>
      </c>
      <c r="C348" s="396">
        <f>+LATrackerALL!E349</f>
        <v>8</v>
      </c>
      <c r="D348" s="397">
        <f>+LATrackerALL!C349</f>
        <v>0</v>
      </c>
      <c r="E348" s="398">
        <f>+LATrackerALL!D349</f>
        <v>2.6666666666666665</v>
      </c>
      <c r="F348" s="391"/>
      <c r="G348" s="391"/>
      <c r="H348" s="392"/>
      <c r="I348" s="391"/>
      <c r="J348" s="391"/>
      <c r="K348" s="392"/>
      <c r="L348" s="391"/>
      <c r="M348" s="391"/>
      <c r="N348" s="391"/>
    </row>
    <row r="349" spans="1:14" ht="16.55" hidden="1" customHeight="1" thickBot="1" x14ac:dyDescent="0.35">
      <c r="A349" s="378" t="str">
        <f t="shared" ca="1" si="5"/>
        <v/>
      </c>
      <c r="B349" s="395">
        <f>+LATrackerALL!A350</f>
        <v>43078</v>
      </c>
      <c r="C349" s="396">
        <f>+LATrackerALL!E350</f>
        <v>8</v>
      </c>
      <c r="D349" s="397">
        <f>+LATrackerALL!C350</f>
        <v>0</v>
      </c>
      <c r="E349" s="398">
        <f>+LATrackerALL!D350</f>
        <v>2.6666666666666665</v>
      </c>
      <c r="F349" s="391"/>
      <c r="G349" s="391"/>
      <c r="H349" s="392"/>
      <c r="I349" s="391"/>
      <c r="J349" s="391"/>
      <c r="K349" s="392"/>
      <c r="L349" s="391"/>
      <c r="M349" s="391"/>
      <c r="N349" s="391"/>
    </row>
    <row r="350" spans="1:14" ht="16.55" hidden="1" customHeight="1" thickBot="1" x14ac:dyDescent="0.35">
      <c r="A350" s="378" t="str">
        <f t="shared" ca="1" si="5"/>
        <v/>
      </c>
      <c r="B350" s="395">
        <f>+LATrackerALL!A351</f>
        <v>43079</v>
      </c>
      <c r="C350" s="396">
        <f>+LATrackerALL!E351</f>
        <v>8</v>
      </c>
      <c r="D350" s="397">
        <f>+LATrackerALL!C351</f>
        <v>0</v>
      </c>
      <c r="E350" s="398">
        <f>+LATrackerALL!D351</f>
        <v>2.6666666666666665</v>
      </c>
      <c r="F350" s="391"/>
      <c r="G350" s="391"/>
      <c r="H350" s="392"/>
      <c r="I350" s="391"/>
      <c r="J350" s="391"/>
      <c r="K350" s="392"/>
      <c r="L350" s="391"/>
      <c r="M350" s="391"/>
      <c r="N350" s="391"/>
    </row>
    <row r="351" spans="1:14" ht="16.55" hidden="1" customHeight="1" thickBot="1" x14ac:dyDescent="0.35">
      <c r="A351" s="378" t="str">
        <f t="shared" ca="1" si="5"/>
        <v/>
      </c>
      <c r="B351" s="395">
        <f>+LATrackerALL!A352</f>
        <v>43080</v>
      </c>
      <c r="C351" s="396">
        <f>+LATrackerALL!E352</f>
        <v>8</v>
      </c>
      <c r="D351" s="397">
        <f>+LATrackerALL!C352</f>
        <v>0</v>
      </c>
      <c r="E351" s="398">
        <f>+LATrackerALL!D352</f>
        <v>2.6666666666666665</v>
      </c>
      <c r="F351" s="391"/>
      <c r="G351" s="391"/>
      <c r="H351" s="392"/>
      <c r="I351" s="391"/>
      <c r="J351" s="391"/>
      <c r="K351" s="392"/>
      <c r="L351" s="391"/>
      <c r="M351" s="391"/>
      <c r="N351" s="391"/>
    </row>
    <row r="352" spans="1:14" ht="16.55" hidden="1" customHeight="1" thickBot="1" x14ac:dyDescent="0.35">
      <c r="A352" s="378" t="str">
        <f t="shared" ca="1" si="5"/>
        <v/>
      </c>
      <c r="B352" s="395">
        <f>+LATrackerALL!A353</f>
        <v>43081</v>
      </c>
      <c r="C352" s="396">
        <f>+LATrackerALL!E353</f>
        <v>8</v>
      </c>
      <c r="D352" s="397">
        <f>+LATrackerALL!C353</f>
        <v>0</v>
      </c>
      <c r="E352" s="398">
        <f>+LATrackerALL!D353</f>
        <v>2.6666666666666665</v>
      </c>
      <c r="F352" s="391"/>
      <c r="G352" s="391"/>
      <c r="H352" s="392"/>
      <c r="I352" s="391"/>
      <c r="J352" s="391"/>
      <c r="K352" s="392"/>
      <c r="L352" s="391"/>
      <c r="M352" s="391"/>
      <c r="N352" s="391"/>
    </row>
    <row r="353" spans="1:14" ht="16.55" hidden="1" customHeight="1" thickBot="1" x14ac:dyDescent="0.35">
      <c r="A353" s="378" t="str">
        <f t="shared" ca="1" si="5"/>
        <v/>
      </c>
      <c r="B353" s="395">
        <f>+LATrackerALL!A354</f>
        <v>43082</v>
      </c>
      <c r="C353" s="396">
        <f>+LATrackerALL!E354</f>
        <v>8</v>
      </c>
      <c r="D353" s="397">
        <f>+LATrackerALL!C354</f>
        <v>0</v>
      </c>
      <c r="E353" s="398">
        <f>+LATrackerALL!D354</f>
        <v>2.6666666666666665</v>
      </c>
      <c r="F353" s="391"/>
      <c r="G353" s="391"/>
      <c r="H353" s="392"/>
      <c r="I353" s="391"/>
      <c r="J353" s="391"/>
      <c r="K353" s="392"/>
      <c r="L353" s="391"/>
      <c r="M353" s="391"/>
      <c r="N353" s="391"/>
    </row>
    <row r="354" spans="1:14" ht="16.55" hidden="1" customHeight="1" thickBot="1" x14ac:dyDescent="0.35">
      <c r="A354" s="378" t="str">
        <f t="shared" ca="1" si="5"/>
        <v/>
      </c>
      <c r="B354" s="395">
        <f>+LATrackerALL!A355</f>
        <v>43083</v>
      </c>
      <c r="C354" s="396">
        <f>+LATrackerALL!E355</f>
        <v>8</v>
      </c>
      <c r="D354" s="397">
        <f>+LATrackerALL!C355</f>
        <v>0</v>
      </c>
      <c r="E354" s="398">
        <f>+LATrackerALL!D355</f>
        <v>2.6666666666666665</v>
      </c>
      <c r="F354" s="391"/>
      <c r="G354" s="391"/>
      <c r="H354" s="392"/>
      <c r="I354" s="391"/>
      <c r="J354" s="391"/>
      <c r="K354" s="392"/>
      <c r="L354" s="391"/>
      <c r="M354" s="391"/>
      <c r="N354" s="391"/>
    </row>
    <row r="355" spans="1:14" ht="16.55" hidden="1" customHeight="1" thickBot="1" x14ac:dyDescent="0.35">
      <c r="A355" s="378" t="str">
        <f t="shared" ca="1" si="5"/>
        <v/>
      </c>
      <c r="B355" s="395">
        <f>+LATrackerALL!A356</f>
        <v>43084</v>
      </c>
      <c r="C355" s="396">
        <f>+LATrackerALL!E356</f>
        <v>8</v>
      </c>
      <c r="D355" s="397">
        <f>+LATrackerALL!C356</f>
        <v>0</v>
      </c>
      <c r="E355" s="398">
        <f>+LATrackerALL!D356</f>
        <v>2.6666666666666665</v>
      </c>
      <c r="F355" s="391"/>
      <c r="G355" s="391"/>
      <c r="H355" s="392"/>
      <c r="I355" s="391"/>
      <c r="J355" s="391"/>
      <c r="K355" s="392"/>
      <c r="L355" s="391"/>
      <c r="M355" s="391"/>
      <c r="N355" s="391"/>
    </row>
    <row r="356" spans="1:14" ht="16.55" hidden="1" customHeight="1" thickBot="1" x14ac:dyDescent="0.35">
      <c r="A356" s="378" t="str">
        <f t="shared" ca="1" si="5"/>
        <v/>
      </c>
      <c r="B356" s="395">
        <f>+LATrackerALL!A357</f>
        <v>43085</v>
      </c>
      <c r="C356" s="396">
        <f>+LATrackerALL!E357</f>
        <v>8</v>
      </c>
      <c r="D356" s="397">
        <f>+LATrackerALL!C357</f>
        <v>0</v>
      </c>
      <c r="E356" s="398">
        <f>+LATrackerALL!D357</f>
        <v>2.6666666666666665</v>
      </c>
      <c r="F356" s="391"/>
      <c r="G356" s="391"/>
      <c r="H356" s="392"/>
      <c r="I356" s="391"/>
      <c r="J356" s="391"/>
      <c r="K356" s="392"/>
      <c r="L356" s="391"/>
      <c r="M356" s="391"/>
      <c r="N356" s="391"/>
    </row>
    <row r="357" spans="1:14" ht="16.55" hidden="1" customHeight="1" thickBot="1" x14ac:dyDescent="0.35">
      <c r="A357" s="378" t="str">
        <f t="shared" ca="1" si="5"/>
        <v/>
      </c>
      <c r="B357" s="395">
        <f>+LATrackerALL!A358</f>
        <v>43086</v>
      </c>
      <c r="C357" s="396">
        <f>+LATrackerALL!E358</f>
        <v>8</v>
      </c>
      <c r="D357" s="397">
        <f>+LATrackerALL!C358</f>
        <v>0</v>
      </c>
      <c r="E357" s="398">
        <f>+LATrackerALL!D358</f>
        <v>2.6666666666666665</v>
      </c>
      <c r="F357" s="391"/>
      <c r="G357" s="391"/>
      <c r="H357" s="392"/>
      <c r="I357" s="391"/>
      <c r="J357" s="391"/>
      <c r="K357" s="392"/>
      <c r="L357" s="391"/>
      <c r="M357" s="391"/>
      <c r="N357" s="391"/>
    </row>
    <row r="358" spans="1:14" ht="16.55" hidden="1" customHeight="1" thickBot="1" x14ac:dyDescent="0.35">
      <c r="A358" s="378" t="str">
        <f t="shared" ca="1" si="5"/>
        <v/>
      </c>
      <c r="B358" s="395">
        <f>+LATrackerALL!A359</f>
        <v>43087</v>
      </c>
      <c r="C358" s="396">
        <f>+LATrackerALL!E359</f>
        <v>8</v>
      </c>
      <c r="D358" s="397">
        <f>+LATrackerALL!C359</f>
        <v>0</v>
      </c>
      <c r="E358" s="398">
        <f>+LATrackerALL!D359</f>
        <v>2.6666666666666665</v>
      </c>
      <c r="F358" s="391"/>
      <c r="G358" s="391"/>
      <c r="H358" s="392"/>
      <c r="I358" s="391"/>
      <c r="J358" s="391"/>
      <c r="K358" s="392"/>
      <c r="L358" s="391"/>
      <c r="M358" s="391"/>
      <c r="N358" s="391"/>
    </row>
    <row r="359" spans="1:14" ht="16.55" hidden="1" customHeight="1" thickBot="1" x14ac:dyDescent="0.35">
      <c r="A359" s="378" t="str">
        <f t="shared" ca="1" si="5"/>
        <v/>
      </c>
      <c r="B359" s="395">
        <f>+LATrackerALL!A360</f>
        <v>43088</v>
      </c>
      <c r="C359" s="396">
        <f>+LATrackerALL!E360</f>
        <v>8</v>
      </c>
      <c r="D359" s="397">
        <f>+LATrackerALL!C360</f>
        <v>0</v>
      </c>
      <c r="E359" s="398">
        <f>+LATrackerALL!D360</f>
        <v>2.6666666666666665</v>
      </c>
      <c r="F359" s="391"/>
      <c r="G359" s="391"/>
      <c r="H359" s="392"/>
      <c r="I359" s="391"/>
      <c r="J359" s="391"/>
      <c r="K359" s="392"/>
      <c r="L359" s="391"/>
      <c r="M359" s="391"/>
      <c r="N359" s="391"/>
    </row>
    <row r="360" spans="1:14" ht="16.55" customHeight="1" thickBot="1" x14ac:dyDescent="0.35">
      <c r="A360" s="378" t="str">
        <f t="shared" ca="1" si="5"/>
        <v/>
      </c>
      <c r="B360" s="395">
        <f>+LATrackerALL!A361</f>
        <v>43089</v>
      </c>
      <c r="C360" s="396">
        <f>+LATrackerALL!E361</f>
        <v>8</v>
      </c>
      <c r="D360" s="397">
        <f>+LATrackerALL!C361</f>
        <v>0</v>
      </c>
      <c r="E360" s="398">
        <f>+LATrackerALL!D361</f>
        <v>2.6666666666666665</v>
      </c>
      <c r="F360" s="391"/>
      <c r="G360" s="391"/>
      <c r="H360" s="392"/>
      <c r="I360" s="391"/>
      <c r="J360" s="391"/>
      <c r="K360" s="392"/>
      <c r="L360" s="391"/>
      <c r="M360" s="391"/>
      <c r="N360" s="391"/>
    </row>
    <row r="361" spans="1:14" ht="16.55" hidden="1" customHeight="1" thickBot="1" x14ac:dyDescent="0.35">
      <c r="A361" s="378" t="str">
        <f t="shared" ca="1" si="5"/>
        <v/>
      </c>
      <c r="B361" s="395">
        <f>+LATrackerALL!A362</f>
        <v>43090</v>
      </c>
      <c r="C361" s="396">
        <f>+LATrackerALL!E362</f>
        <v>8</v>
      </c>
      <c r="D361" s="397">
        <f>+LATrackerALL!C362</f>
        <v>0</v>
      </c>
      <c r="E361" s="398">
        <f>+LATrackerALL!D362</f>
        <v>2.6666666666666665</v>
      </c>
      <c r="F361" s="391"/>
      <c r="G361" s="391"/>
      <c r="H361" s="392"/>
      <c r="I361" s="391"/>
      <c r="J361" s="391"/>
      <c r="K361" s="392"/>
      <c r="L361" s="391"/>
      <c r="M361" s="391"/>
      <c r="N361" s="391"/>
    </row>
    <row r="362" spans="1:14" ht="16.55" hidden="1" customHeight="1" thickBot="1" x14ac:dyDescent="0.35">
      <c r="A362" s="378" t="str">
        <f t="shared" ca="1" si="5"/>
        <v/>
      </c>
      <c r="B362" s="395">
        <f>+LATrackerALL!A363</f>
        <v>43091</v>
      </c>
      <c r="C362" s="396">
        <f>+LATrackerALL!E363</f>
        <v>8</v>
      </c>
      <c r="D362" s="397">
        <f>+LATrackerALL!C363</f>
        <v>0</v>
      </c>
      <c r="E362" s="398">
        <f>+LATrackerALL!D363</f>
        <v>2.6666666666666665</v>
      </c>
      <c r="F362" s="391"/>
      <c r="G362" s="391"/>
      <c r="H362" s="392"/>
      <c r="I362" s="391"/>
      <c r="J362" s="391"/>
      <c r="K362" s="392"/>
      <c r="L362" s="391"/>
      <c r="M362" s="391"/>
      <c r="N362" s="391"/>
    </row>
    <row r="363" spans="1:14" ht="16.55" hidden="1" customHeight="1" thickBot="1" x14ac:dyDescent="0.35">
      <c r="A363" s="378" t="str">
        <f t="shared" ca="1" si="5"/>
        <v/>
      </c>
      <c r="B363" s="395">
        <f>+LATrackerALL!A364</f>
        <v>43092</v>
      </c>
      <c r="C363" s="396">
        <f>+LATrackerALL!E364</f>
        <v>9</v>
      </c>
      <c r="D363" s="397">
        <f>+LATrackerALL!C364</f>
        <v>0.33333333333333331</v>
      </c>
      <c r="E363" s="398">
        <f>+LATrackerALL!D364</f>
        <v>3</v>
      </c>
      <c r="F363" s="391"/>
      <c r="G363" s="391"/>
      <c r="H363" s="392"/>
      <c r="I363" s="391"/>
      <c r="J363" s="391"/>
      <c r="K363" s="392"/>
      <c r="L363" s="391"/>
      <c r="M363" s="391"/>
      <c r="N363" s="391"/>
    </row>
    <row r="364" spans="1:14" ht="16.55" hidden="1" customHeight="1" thickBot="1" x14ac:dyDescent="0.35">
      <c r="A364" s="378" t="str">
        <f t="shared" ca="1" si="5"/>
        <v/>
      </c>
      <c r="B364" s="395">
        <f>+LATrackerALL!A365</f>
        <v>43093</v>
      </c>
      <c r="C364" s="396">
        <f>+LATrackerALL!E365</f>
        <v>9</v>
      </c>
      <c r="D364" s="397">
        <f>+LATrackerALL!C365</f>
        <v>0</v>
      </c>
      <c r="E364" s="398">
        <f>+LATrackerALL!D365</f>
        <v>3</v>
      </c>
      <c r="F364" s="391"/>
      <c r="G364" s="391"/>
      <c r="H364" s="392"/>
      <c r="I364" s="391"/>
      <c r="J364" s="391"/>
      <c r="K364" s="392"/>
      <c r="L364" s="391"/>
      <c r="M364" s="391"/>
      <c r="N364" s="391"/>
    </row>
    <row r="365" spans="1:14" ht="16.55" hidden="1" customHeight="1" thickBot="1" x14ac:dyDescent="0.35">
      <c r="A365" s="378" t="str">
        <f t="shared" ca="1" si="5"/>
        <v/>
      </c>
      <c r="B365" s="395">
        <f>+LATrackerALL!A366</f>
        <v>43094</v>
      </c>
      <c r="C365" s="396">
        <f>+LATrackerALL!E366</f>
        <v>9</v>
      </c>
      <c r="D365" s="397">
        <f>+LATrackerALL!C366</f>
        <v>0</v>
      </c>
      <c r="E365" s="398">
        <f>+LATrackerALL!D366</f>
        <v>3</v>
      </c>
      <c r="F365" s="391"/>
      <c r="G365" s="391"/>
      <c r="H365" s="392"/>
      <c r="I365" s="391"/>
      <c r="J365" s="391"/>
      <c r="K365" s="392"/>
      <c r="L365" s="391"/>
      <c r="M365" s="391"/>
      <c r="N365" s="391"/>
    </row>
    <row r="366" spans="1:14" ht="16.55" hidden="1" customHeight="1" thickBot="1" x14ac:dyDescent="0.35">
      <c r="A366" s="378" t="str">
        <f t="shared" ca="1" si="5"/>
        <v/>
      </c>
      <c r="B366" s="395">
        <f>+LATrackerALL!A367</f>
        <v>43095</v>
      </c>
      <c r="C366" s="396">
        <f>+LATrackerALL!E367</f>
        <v>9</v>
      </c>
      <c r="D366" s="397">
        <f>+LATrackerALL!C367</f>
        <v>0</v>
      </c>
      <c r="E366" s="398">
        <f>+LATrackerALL!D367</f>
        <v>3</v>
      </c>
      <c r="F366" s="391"/>
      <c r="G366" s="391"/>
      <c r="H366" s="392"/>
      <c r="I366" s="391"/>
      <c r="J366" s="391"/>
      <c r="K366" s="392"/>
      <c r="L366" s="391"/>
      <c r="M366" s="391"/>
      <c r="N366" s="391"/>
    </row>
    <row r="367" spans="1:14" ht="16.55" customHeight="1" thickBot="1" x14ac:dyDescent="0.35">
      <c r="A367" s="378" t="str">
        <f t="shared" ca="1" si="5"/>
        <v/>
      </c>
      <c r="B367" s="395">
        <f>+LATrackerALL!A368</f>
        <v>43096</v>
      </c>
      <c r="C367" s="396">
        <f>+LATrackerALL!E368</f>
        <v>9</v>
      </c>
      <c r="D367" s="397">
        <f>+LATrackerALL!C368</f>
        <v>0</v>
      </c>
      <c r="E367" s="398">
        <f>+LATrackerALL!D368</f>
        <v>3</v>
      </c>
      <c r="F367" s="391"/>
      <c r="G367" s="391"/>
      <c r="H367" s="392"/>
      <c r="I367" s="391"/>
      <c r="J367" s="391"/>
      <c r="K367" s="392"/>
      <c r="L367" s="391"/>
      <c r="M367" s="391"/>
      <c r="N367" s="391"/>
    </row>
    <row r="368" spans="1:14" ht="16.55" hidden="1" customHeight="1" thickBot="1" x14ac:dyDescent="0.35">
      <c r="A368" s="378" t="str">
        <f t="shared" ca="1" si="5"/>
        <v/>
      </c>
      <c r="B368" s="395">
        <f>+LATrackerALL!A369</f>
        <v>43097</v>
      </c>
      <c r="C368" s="396">
        <f>+LATrackerALL!E369</f>
        <v>9</v>
      </c>
      <c r="D368" s="397">
        <f>+LATrackerALL!C369</f>
        <v>0</v>
      </c>
      <c r="E368" s="398">
        <f>+LATrackerALL!D369</f>
        <v>3</v>
      </c>
      <c r="F368" s="391"/>
      <c r="G368" s="391"/>
      <c r="H368" s="392"/>
      <c r="I368" s="391"/>
      <c r="J368" s="391"/>
      <c r="K368" s="392"/>
      <c r="L368" s="391"/>
      <c r="M368" s="391"/>
      <c r="N368" s="391"/>
    </row>
    <row r="369" spans="1:15" ht="16.55" hidden="1" customHeight="1" thickBot="1" x14ac:dyDescent="0.35">
      <c r="A369" s="378" t="str">
        <f t="shared" ca="1" si="5"/>
        <v/>
      </c>
      <c r="B369" s="395">
        <f>+LATrackerALL!A370</f>
        <v>43098</v>
      </c>
      <c r="C369" s="396">
        <f>+LATrackerALL!E370</f>
        <v>9</v>
      </c>
      <c r="D369" s="397">
        <f>+LATrackerALL!C370</f>
        <v>0</v>
      </c>
      <c r="E369" s="398">
        <f>+LATrackerALL!D370</f>
        <v>3</v>
      </c>
      <c r="F369" s="391"/>
      <c r="G369" s="391"/>
      <c r="H369" s="392"/>
      <c r="I369" s="391"/>
      <c r="J369" s="391"/>
      <c r="K369" s="392"/>
      <c r="L369" s="391"/>
      <c r="M369" s="391"/>
      <c r="N369" s="391"/>
    </row>
    <row r="370" spans="1:15" ht="16.55" hidden="1" customHeight="1" thickBot="1" x14ac:dyDescent="0.35">
      <c r="A370" s="378" t="str">
        <f t="shared" ca="1" si="5"/>
        <v/>
      </c>
      <c r="B370" s="395">
        <f>+LATrackerALL!A371</f>
        <v>43099</v>
      </c>
      <c r="C370" s="396">
        <f>+LATrackerALL!E371</f>
        <v>10</v>
      </c>
      <c r="D370" s="397">
        <f>+LATrackerALL!C371</f>
        <v>0.33333333333333331</v>
      </c>
      <c r="E370" s="398">
        <f>+LATrackerALL!D371</f>
        <v>3.3333333333333335</v>
      </c>
      <c r="F370" s="391"/>
      <c r="G370" s="391"/>
      <c r="H370" s="392"/>
      <c r="I370" s="391"/>
      <c r="J370" s="391"/>
      <c r="K370" s="392"/>
      <c r="L370" s="391"/>
      <c r="M370" s="391"/>
      <c r="N370" s="391"/>
    </row>
    <row r="371" spans="1:15" ht="16.55" hidden="1" customHeight="1" thickBot="1" x14ac:dyDescent="0.35">
      <c r="A371" s="378" t="str">
        <f t="shared" ca="1" si="5"/>
        <v/>
      </c>
      <c r="B371" s="395">
        <f>+LATrackerALL!A372</f>
        <v>43100</v>
      </c>
      <c r="C371" s="396">
        <f>+LATrackerALL!E372</f>
        <v>10</v>
      </c>
      <c r="D371" s="397">
        <f>+LATrackerALL!C372</f>
        <v>0</v>
      </c>
      <c r="E371" s="398">
        <f>+LATrackerALL!D372</f>
        <v>3.3333333333333335</v>
      </c>
      <c r="F371" s="391"/>
      <c r="G371" s="391"/>
      <c r="H371" s="392"/>
      <c r="I371" s="391"/>
      <c r="J371" s="391"/>
      <c r="K371" s="392"/>
      <c r="L371" s="391"/>
      <c r="M371" s="391"/>
      <c r="N371" s="391"/>
    </row>
    <row r="372" spans="1:15" ht="16.55" hidden="1" customHeight="1" thickBot="1" x14ac:dyDescent="0.35">
      <c r="A372" s="378" t="str">
        <f t="shared" ca="1" si="5"/>
        <v/>
      </c>
      <c r="B372" s="395">
        <f>+LATrackerALL!A373</f>
        <v>43101</v>
      </c>
      <c r="C372" s="396">
        <f>+LATrackerALL!E373</f>
        <v>0</v>
      </c>
      <c r="D372" s="397">
        <f>+LATrackerALL!C373</f>
        <v>0</v>
      </c>
      <c r="E372" s="398">
        <f>+LATrackerALL!D373</f>
        <v>0</v>
      </c>
      <c r="F372" s="391"/>
      <c r="G372" s="391"/>
      <c r="H372" s="392"/>
      <c r="I372" s="391"/>
      <c r="J372" s="391"/>
      <c r="K372" s="392"/>
      <c r="L372" s="391"/>
      <c r="M372" s="391"/>
      <c r="N372" s="391"/>
    </row>
    <row r="373" spans="1:15" ht="16.55" customHeight="1" x14ac:dyDescent="0.3">
      <c r="B373" s="393"/>
      <c r="C373" s="391"/>
      <c r="D373" s="391"/>
      <c r="E373" s="392"/>
      <c r="F373" s="391"/>
      <c r="G373" s="391"/>
      <c r="H373" s="391"/>
      <c r="I373" s="392"/>
      <c r="J373" s="391"/>
      <c r="K373" s="391"/>
      <c r="L373" s="392"/>
      <c r="M373" s="391"/>
      <c r="N373" s="391"/>
      <c r="O373" s="391"/>
    </row>
    <row r="374" spans="1:15" ht="15.75" thickBot="1" x14ac:dyDescent="0.35">
      <c r="D374" s="383"/>
    </row>
    <row r="375" spans="1:15" x14ac:dyDescent="0.3">
      <c r="B375" s="381" t="s">
        <v>199</v>
      </c>
      <c r="C375" s="382"/>
      <c r="D375" s="382"/>
      <c r="E375" s="382"/>
      <c r="F375" s="382"/>
      <c r="G375" s="382"/>
      <c r="H375" s="382"/>
      <c r="I375" s="382"/>
      <c r="J375" s="382"/>
      <c r="K375" s="382"/>
      <c r="L375" s="382"/>
      <c r="M375" s="382"/>
      <c r="N375" s="435" t="s">
        <v>200</v>
      </c>
      <c r="O375" s="436"/>
    </row>
    <row r="376" spans="1:15" ht="15.05" customHeight="1" x14ac:dyDescent="0.3">
      <c r="B376" s="441" t="s">
        <v>201</v>
      </c>
      <c r="C376" s="442"/>
      <c r="D376" s="442"/>
      <c r="E376" s="442"/>
      <c r="F376" s="442"/>
      <c r="G376" s="442"/>
      <c r="H376" s="442"/>
      <c r="I376" s="442"/>
      <c r="J376" s="442"/>
      <c r="K376" s="442"/>
      <c r="L376" s="442"/>
      <c r="M376" s="442"/>
      <c r="N376" s="437"/>
      <c r="O376" s="438"/>
    </row>
    <row r="377" spans="1:15" ht="32.25" customHeight="1" thickBot="1" x14ac:dyDescent="0.35">
      <c r="B377" s="441"/>
      <c r="C377" s="442"/>
      <c r="D377" s="442"/>
      <c r="E377" s="442"/>
      <c r="F377" s="442"/>
      <c r="G377" s="442"/>
      <c r="H377" s="442"/>
      <c r="I377" s="442"/>
      <c r="J377" s="442"/>
      <c r="K377" s="442"/>
      <c r="L377" s="442"/>
      <c r="M377" s="442"/>
      <c r="N377" s="439"/>
      <c r="O377" s="440"/>
    </row>
    <row r="378" spans="1:15" ht="12.8" customHeight="1" x14ac:dyDescent="0.3">
      <c r="B378" s="441"/>
      <c r="C378" s="442"/>
      <c r="D378" s="442"/>
      <c r="E378" s="442"/>
      <c r="F378" s="442"/>
      <c r="G378" s="442"/>
      <c r="H378" s="442"/>
      <c r="I378" s="442"/>
      <c r="J378" s="442"/>
      <c r="K378" s="442"/>
      <c r="L378" s="442"/>
      <c r="M378" s="442"/>
      <c r="N378" s="443" t="s">
        <v>210</v>
      </c>
      <c r="O378" s="444"/>
    </row>
    <row r="379" spans="1:15" ht="15.05" customHeight="1" x14ac:dyDescent="0.3">
      <c r="B379" s="449" t="s">
        <v>202</v>
      </c>
      <c r="C379" s="450"/>
      <c r="D379" s="450"/>
      <c r="E379" s="450"/>
      <c r="F379" s="450"/>
      <c r="G379" s="450"/>
      <c r="H379" s="450"/>
      <c r="I379" s="450"/>
      <c r="J379" s="450"/>
      <c r="K379" s="450"/>
      <c r="L379" s="450"/>
      <c r="M379" s="451"/>
      <c r="N379" s="445"/>
      <c r="O379" s="446"/>
    </row>
    <row r="380" spans="1:15" ht="15.75" thickBot="1" x14ac:dyDescent="0.35">
      <c r="B380" s="452"/>
      <c r="C380" s="453"/>
      <c r="D380" s="453"/>
      <c r="E380" s="453"/>
      <c r="F380" s="453"/>
      <c r="G380" s="453"/>
      <c r="H380" s="453"/>
      <c r="I380" s="453"/>
      <c r="J380" s="453"/>
      <c r="K380" s="453"/>
      <c r="L380" s="453"/>
      <c r="M380" s="454"/>
      <c r="N380" s="447"/>
      <c r="O380" s="448"/>
    </row>
  </sheetData>
  <autoFilter ref="B7:E372">
    <filterColumn colId="2">
      <filters>
        <filter val="8:00"/>
      </filters>
    </filterColumn>
  </autoFilter>
  <mergeCells count="15">
    <mergeCell ref="B1:O1"/>
    <mergeCell ref="B2:O2"/>
    <mergeCell ref="B3:O3"/>
    <mergeCell ref="B4:D4"/>
    <mergeCell ref="E4:H4"/>
    <mergeCell ref="I4:K4"/>
    <mergeCell ref="L4:O4"/>
    <mergeCell ref="B5:D5"/>
    <mergeCell ref="E5:H5"/>
    <mergeCell ref="I5:K5"/>
    <mergeCell ref="L5:O5"/>
    <mergeCell ref="N375:O377"/>
    <mergeCell ref="B376:M378"/>
    <mergeCell ref="N378:O380"/>
    <mergeCell ref="B379:M380"/>
  </mergeCells>
  <conditionalFormatting sqref="N378">
    <cfRule type="cellIs" dxfId="315" priority="3" operator="greaterThanOrEqual">
      <formula>1039</formula>
    </cfRule>
  </conditionalFormatting>
  <conditionalFormatting sqref="B8:B372">
    <cfRule type="expression" dxfId="314" priority="1">
      <formula>A8="==&gt;"</formula>
    </cfRule>
  </conditionalFormatting>
  <pageMargins left="0.7" right="0"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AllNonZero">
                <anchor moveWithCells="1">
                  <from>
                    <xdr:col>6</xdr:col>
                    <xdr:colOff>399011</xdr:colOff>
                    <xdr:row>6</xdr:row>
                    <xdr:rowOff>24938</xdr:rowOff>
                  </from>
                  <to>
                    <xdr:col>9</xdr:col>
                    <xdr:colOff>216131</xdr:colOff>
                    <xdr:row>15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V37"/>
  <sheetViews>
    <sheetView zoomScale="95" workbookViewId="0">
      <pane xSplit="4" ySplit="6" topLeftCell="E7" activePane="bottomRight" state="frozen"/>
      <selection pane="topRight" activeCell="E1" sqref="E1"/>
      <selection pane="bottomLeft" activeCell="A7" sqref="A7"/>
      <selection pane="bottomRight" activeCell="E3" sqref="E3"/>
    </sheetView>
  </sheetViews>
  <sheetFormatPr defaultRowHeight="12.45" x14ac:dyDescent="0.2"/>
  <cols>
    <col min="1" max="1" width="9.625" bestFit="1" customWidth="1"/>
    <col min="2" max="2" width="4.75" customWidth="1"/>
    <col min="3" max="3" width="11.875" customWidth="1"/>
    <col min="5" max="6" width="8.25" customWidth="1"/>
    <col min="8" max="9" width="8.25" customWidth="1"/>
    <col min="11" max="12" width="8.25" customWidth="1"/>
    <col min="14" max="15" width="8.25" customWidth="1"/>
    <col min="17" max="18" width="8.25" customWidth="1"/>
    <col min="20" max="20" width="9.875" customWidth="1"/>
    <col min="22" max="22" width="12.375" customWidth="1"/>
  </cols>
  <sheetData>
    <row r="1" spans="1:22" ht="24.75" customHeight="1" x14ac:dyDescent="0.25">
      <c r="A1" s="9" t="s">
        <v>32</v>
      </c>
      <c r="B1" s="10"/>
      <c r="C1" s="10"/>
      <c r="D1" s="10"/>
      <c r="E1" s="10"/>
      <c r="F1" s="10"/>
      <c r="G1" s="10"/>
      <c r="H1" s="10"/>
      <c r="I1" s="11"/>
      <c r="J1" s="10"/>
      <c r="K1" s="10"/>
      <c r="L1" s="10"/>
      <c r="M1" s="10"/>
    </row>
    <row r="2" spans="1:22" ht="15.75" customHeight="1" x14ac:dyDescent="0.2">
      <c r="A2" s="10"/>
      <c r="B2" s="10"/>
      <c r="C2" s="10"/>
      <c r="D2" s="10"/>
      <c r="E2" s="10"/>
      <c r="F2" s="10"/>
      <c r="G2" s="10"/>
      <c r="H2" s="10"/>
      <c r="I2" s="11"/>
      <c r="J2" s="10"/>
      <c r="K2" s="10"/>
      <c r="L2" s="10"/>
      <c r="M2" s="10"/>
    </row>
    <row r="3" spans="1:22" ht="22.6" customHeight="1" thickBot="1" x14ac:dyDescent="0.45">
      <c r="A3" s="10"/>
      <c r="B3" s="53"/>
      <c r="C3" s="51"/>
      <c r="D3" s="51"/>
      <c r="E3" s="64">
        <f>'P1'!L16</f>
        <v>2021</v>
      </c>
      <c r="F3" s="65" t="s">
        <v>53</v>
      </c>
      <c r="G3" s="51"/>
      <c r="H3" s="51"/>
      <c r="I3" s="51"/>
      <c r="J3" s="51"/>
      <c r="K3" s="52"/>
      <c r="L3" s="52"/>
      <c r="M3" s="52"/>
      <c r="N3" s="52"/>
      <c r="O3" s="52"/>
      <c r="P3" s="52"/>
    </row>
    <row r="4" spans="1:22" ht="18.850000000000001" customHeight="1" thickBot="1" x14ac:dyDescent="0.45">
      <c r="A4" s="10"/>
      <c r="B4" s="12"/>
      <c r="C4" s="13"/>
      <c r="D4" s="14"/>
      <c r="E4" s="15" t="s">
        <v>7</v>
      </c>
      <c r="F4" s="15"/>
      <c r="G4" s="16"/>
      <c r="H4" s="466" t="s">
        <v>8</v>
      </c>
      <c r="I4" s="467"/>
      <c r="J4" s="468"/>
      <c r="K4" s="469" t="s">
        <v>57</v>
      </c>
      <c r="L4" s="470"/>
      <c r="M4" s="471"/>
      <c r="N4" s="59" t="s">
        <v>56</v>
      </c>
      <c r="O4" s="57"/>
      <c r="P4" s="58"/>
      <c r="Q4" s="463" t="s">
        <v>55</v>
      </c>
      <c r="R4" s="464"/>
      <c r="S4" s="465"/>
      <c r="T4" s="458" t="s">
        <v>72</v>
      </c>
      <c r="U4" s="459"/>
      <c r="V4" s="72" t="s">
        <v>85</v>
      </c>
    </row>
    <row r="5" spans="1:22" ht="15.05" thickBot="1" x14ac:dyDescent="0.3">
      <c r="A5" s="10"/>
      <c r="B5" s="460" t="s">
        <v>24</v>
      </c>
      <c r="C5" s="461"/>
      <c r="D5" s="462"/>
      <c r="E5" s="67" t="s">
        <v>35</v>
      </c>
      <c r="F5" s="17"/>
      <c r="G5" s="338">
        <f>'P1'!P51</f>
        <v>0</v>
      </c>
      <c r="H5" s="68" t="s">
        <v>36</v>
      </c>
      <c r="I5" s="18"/>
      <c r="J5" s="339">
        <f>'P1'!P52</f>
        <v>0</v>
      </c>
      <c r="K5" s="69" t="s">
        <v>35</v>
      </c>
      <c r="L5" s="19"/>
      <c r="M5" s="340">
        <f>'P1'!P53</f>
        <v>0</v>
      </c>
      <c r="N5" s="70" t="s">
        <v>35</v>
      </c>
      <c r="O5" s="48"/>
      <c r="P5" s="341">
        <f>'P1'!P54</f>
        <v>0</v>
      </c>
      <c r="Q5" s="71" t="s">
        <v>35</v>
      </c>
      <c r="R5" s="54"/>
      <c r="S5" s="342">
        <f>'P1'!P55</f>
        <v>0</v>
      </c>
      <c r="T5" s="66" t="s">
        <v>73</v>
      </c>
      <c r="U5" s="343">
        <f>'P1'!P56</f>
        <v>0</v>
      </c>
      <c r="V5" s="73" t="s">
        <v>86</v>
      </c>
    </row>
    <row r="6" spans="1:22" ht="13.75" thickBot="1" x14ac:dyDescent="0.3">
      <c r="A6" s="10"/>
      <c r="B6" s="20" t="s">
        <v>33</v>
      </c>
      <c r="C6" s="21" t="s">
        <v>25</v>
      </c>
      <c r="D6" s="22" t="s">
        <v>26</v>
      </c>
      <c r="E6" s="23" t="s">
        <v>27</v>
      </c>
      <c r="F6" s="23" t="s">
        <v>28</v>
      </c>
      <c r="G6" s="24" t="s">
        <v>29</v>
      </c>
      <c r="H6" s="25" t="s">
        <v>27</v>
      </c>
      <c r="I6" s="25" t="s">
        <v>28</v>
      </c>
      <c r="J6" s="26" t="s">
        <v>29</v>
      </c>
      <c r="K6" s="27" t="s">
        <v>27</v>
      </c>
      <c r="L6" s="27" t="s">
        <v>28</v>
      </c>
      <c r="M6" s="28" t="s">
        <v>29</v>
      </c>
      <c r="N6" s="49" t="s">
        <v>27</v>
      </c>
      <c r="O6" s="49" t="s">
        <v>28</v>
      </c>
      <c r="P6" s="50" t="s">
        <v>29</v>
      </c>
      <c r="Q6" s="55" t="s">
        <v>27</v>
      </c>
      <c r="R6" s="55" t="s">
        <v>28</v>
      </c>
      <c r="S6" s="56" t="s">
        <v>29</v>
      </c>
      <c r="T6" s="62" t="s">
        <v>28</v>
      </c>
      <c r="U6" s="63" t="s">
        <v>29</v>
      </c>
      <c r="V6" s="74"/>
    </row>
    <row r="7" spans="1:22" x14ac:dyDescent="0.2">
      <c r="A7" s="11" t="str">
        <f ca="1">IF(TODAY()&gt;=C7,IF(TODAY()&lt;=D7,"==&gt;",""),"")</f>
        <v>==&gt;</v>
      </c>
      <c r="B7" s="29">
        <v>1</v>
      </c>
      <c r="C7" s="30">
        <f>+'P1'!Q16</f>
        <v>42737</v>
      </c>
      <c r="D7" s="31">
        <f>C7+13</f>
        <v>42750</v>
      </c>
      <c r="E7" s="354">
        <f>'P1'!R$51</f>
        <v>0.16666666666666666</v>
      </c>
      <c r="F7" s="355">
        <f>'P1'!S$51</f>
        <v>0</v>
      </c>
      <c r="G7" s="296">
        <f>'P1'!$T$51</f>
        <v>0.16666666666666666</v>
      </c>
      <c r="H7" s="297">
        <f>'P1'!R$52</f>
        <v>0.16666666666666666</v>
      </c>
      <c r="I7" s="297">
        <f>'P1'!S$52</f>
        <v>0</v>
      </c>
      <c r="J7" s="298">
        <f>'P1'!$T$52</f>
        <v>0.16666666666666666</v>
      </c>
      <c r="K7" s="299">
        <f>'P1'!$R$53</f>
        <v>0</v>
      </c>
      <c r="L7" s="299">
        <f>'P1'!$S$53</f>
        <v>0</v>
      </c>
      <c r="M7" s="300">
        <f>'P1'!$T$53</f>
        <v>0</v>
      </c>
      <c r="N7" s="301">
        <f>'P1'!$R$54</f>
        <v>0</v>
      </c>
      <c r="O7" s="301">
        <f>'P1'!$S$54</f>
        <v>0</v>
      </c>
      <c r="P7" s="302">
        <f>'P1'!$T$54</f>
        <v>0</v>
      </c>
      <c r="Q7" s="303">
        <f>'P1'!$R$55</f>
        <v>0</v>
      </c>
      <c r="R7" s="303">
        <f>'P1'!$S$55</f>
        <v>0</v>
      </c>
      <c r="S7" s="304">
        <f>'P1'!$T$55</f>
        <v>0</v>
      </c>
      <c r="T7" s="305">
        <f>'P1'!$S$56</f>
        <v>0</v>
      </c>
      <c r="U7" s="306">
        <f>'P1'!$T$56</f>
        <v>0</v>
      </c>
      <c r="V7" s="307">
        <f>'P1'!$Y$51</f>
        <v>0</v>
      </c>
    </row>
    <row r="8" spans="1:22" x14ac:dyDescent="0.2">
      <c r="A8" s="11" t="str">
        <f t="shared" ref="A8:A32" ca="1" si="0">IF(TODAY()&gt;=C8,IF(TODAY()&lt;=D8,"==&gt;",""),"")</f>
        <v/>
      </c>
      <c r="B8" s="29">
        <f t="shared" ref="B8:B32" si="1">+B7+1</f>
        <v>2</v>
      </c>
      <c r="C8" s="30">
        <f t="shared" ref="C8:C32" si="2">C7+14</f>
        <v>42751</v>
      </c>
      <c r="D8" s="313">
        <f t="shared" ref="D8:D32" si="3">D7+14</f>
        <v>42764</v>
      </c>
      <c r="E8" s="356">
        <f>'P2'!R$51</f>
        <v>0.16666666666666666</v>
      </c>
      <c r="F8" s="312">
        <f>'P2'!S$51</f>
        <v>0</v>
      </c>
      <c r="G8" s="315">
        <f>'P2'!$T$51</f>
        <v>0.33333333333333331</v>
      </c>
      <c r="H8" s="314">
        <f>'P2'!R$52</f>
        <v>0.16666666666666666</v>
      </c>
      <c r="I8" s="308">
        <f>'P2'!S$52</f>
        <v>0</v>
      </c>
      <c r="J8" s="317">
        <f>'P2'!$T$52</f>
        <v>0.33333333333333331</v>
      </c>
      <c r="K8" s="316">
        <f>'P2'!$R$53</f>
        <v>0</v>
      </c>
      <c r="L8" s="309">
        <f>'P2'!$S$53</f>
        <v>0</v>
      </c>
      <c r="M8" s="319">
        <f>'P2'!$T$53</f>
        <v>0</v>
      </c>
      <c r="N8" s="318">
        <f>'P2'!$R$54</f>
        <v>0</v>
      </c>
      <c r="O8" s="310">
        <f>'P2'!$S$54</f>
        <v>0</v>
      </c>
      <c r="P8" s="321">
        <f>'P2'!$T$54</f>
        <v>0</v>
      </c>
      <c r="Q8" s="320">
        <f>'P2'!$R$55</f>
        <v>0</v>
      </c>
      <c r="R8" s="311">
        <f>'P2'!$S$55</f>
        <v>0</v>
      </c>
      <c r="S8" s="323">
        <f>'P2'!$T$55</f>
        <v>0</v>
      </c>
      <c r="T8" s="322">
        <f>'P2'!$S$56</f>
        <v>0</v>
      </c>
      <c r="U8" s="325">
        <f>'P2'!$T$56</f>
        <v>0</v>
      </c>
      <c r="V8" s="324">
        <f>'P2'!$Y$51</f>
        <v>0</v>
      </c>
    </row>
    <row r="9" spans="1:22" x14ac:dyDescent="0.2">
      <c r="A9" s="11" t="str">
        <f t="shared" ca="1" si="0"/>
        <v/>
      </c>
      <c r="B9" s="29">
        <f t="shared" si="1"/>
        <v>3</v>
      </c>
      <c r="C9" s="30">
        <f t="shared" si="2"/>
        <v>42765</v>
      </c>
      <c r="D9" s="31">
        <f t="shared" si="3"/>
        <v>42778</v>
      </c>
      <c r="E9" s="356">
        <f>'P3'!R$51</f>
        <v>0.16666666666666666</v>
      </c>
      <c r="F9" s="312">
        <f>'P3'!S$51</f>
        <v>0</v>
      </c>
      <c r="G9" s="315">
        <f>'P3'!$T$51</f>
        <v>0.5</v>
      </c>
      <c r="H9" s="314">
        <f>'P3'!R$52</f>
        <v>0.16666666666666666</v>
      </c>
      <c r="I9" s="308">
        <f>'P3'!S$52</f>
        <v>0</v>
      </c>
      <c r="J9" s="317">
        <f>'P3'!$T$52</f>
        <v>0.5</v>
      </c>
      <c r="K9" s="316">
        <f>'P3'!$R$53</f>
        <v>0</v>
      </c>
      <c r="L9" s="309">
        <f>'P3'!$S$53</f>
        <v>0</v>
      </c>
      <c r="M9" s="319">
        <f>'P3'!$T$53</f>
        <v>0</v>
      </c>
      <c r="N9" s="318">
        <f>'P3'!$R$54</f>
        <v>0</v>
      </c>
      <c r="O9" s="310">
        <f>'P3'!$S$54</f>
        <v>0</v>
      </c>
      <c r="P9" s="321">
        <f>'P3'!$T$54</f>
        <v>0</v>
      </c>
      <c r="Q9" s="320">
        <f>'P3'!$R$55</f>
        <v>0</v>
      </c>
      <c r="R9" s="311">
        <f>'P3'!$S$55</f>
        <v>0</v>
      </c>
      <c r="S9" s="323">
        <f>'P3'!$T$55</f>
        <v>0</v>
      </c>
      <c r="T9" s="322">
        <f>'P3'!$S$56</f>
        <v>0</v>
      </c>
      <c r="U9" s="325">
        <f>'P3'!$T$56</f>
        <v>0</v>
      </c>
      <c r="V9" s="324">
        <f>'P3'!$Y$51</f>
        <v>0</v>
      </c>
    </row>
    <row r="10" spans="1:22" x14ac:dyDescent="0.2">
      <c r="A10" s="11" t="str">
        <f t="shared" ca="1" si="0"/>
        <v/>
      </c>
      <c r="B10" s="29">
        <f t="shared" si="1"/>
        <v>4</v>
      </c>
      <c r="C10" s="30">
        <f t="shared" si="2"/>
        <v>42779</v>
      </c>
      <c r="D10" s="31">
        <f t="shared" si="3"/>
        <v>42792</v>
      </c>
      <c r="E10" s="356">
        <f>'P4'!R$51</f>
        <v>0.16666666666666666</v>
      </c>
      <c r="F10" s="312">
        <f>'P4'!S$51</f>
        <v>0</v>
      </c>
      <c r="G10" s="315">
        <f>'P4'!$T$51</f>
        <v>0.66666666666666663</v>
      </c>
      <c r="H10" s="314">
        <f>'P4'!R$52</f>
        <v>0.16666666666666666</v>
      </c>
      <c r="I10" s="308">
        <f>'P4'!S$52</f>
        <v>0</v>
      </c>
      <c r="J10" s="317">
        <f>'P4'!$T$52</f>
        <v>0.66666666666666663</v>
      </c>
      <c r="K10" s="316">
        <f>'P4'!$R$53</f>
        <v>0</v>
      </c>
      <c r="L10" s="309">
        <f>'P4'!$S$53</f>
        <v>0</v>
      </c>
      <c r="M10" s="319">
        <f>'P4'!$T$53</f>
        <v>0</v>
      </c>
      <c r="N10" s="318">
        <f>'P4'!$R$54</f>
        <v>0</v>
      </c>
      <c r="O10" s="310">
        <f>'P4'!$S$54</f>
        <v>0</v>
      </c>
      <c r="P10" s="321">
        <f>'P4'!$T$54</f>
        <v>0</v>
      </c>
      <c r="Q10" s="320">
        <f>'P4'!$R$55</f>
        <v>0</v>
      </c>
      <c r="R10" s="311">
        <f>'P4'!$S$55</f>
        <v>0</v>
      </c>
      <c r="S10" s="323">
        <f>'P4'!$T$55</f>
        <v>0</v>
      </c>
      <c r="T10" s="322">
        <f>'P4'!$S$56</f>
        <v>0</v>
      </c>
      <c r="U10" s="325">
        <f>'P4'!$T$56</f>
        <v>0</v>
      </c>
      <c r="V10" s="324">
        <f>'P4'!$Y$51</f>
        <v>0</v>
      </c>
    </row>
    <row r="11" spans="1:22" x14ac:dyDescent="0.2">
      <c r="A11" s="11" t="str">
        <f t="shared" ca="1" si="0"/>
        <v/>
      </c>
      <c r="B11" s="29">
        <f t="shared" si="1"/>
        <v>5</v>
      </c>
      <c r="C11" s="30">
        <f t="shared" si="2"/>
        <v>42793</v>
      </c>
      <c r="D11" s="31">
        <f t="shared" si="3"/>
        <v>42806</v>
      </c>
      <c r="E11" s="356">
        <f>'P5'!R$51</f>
        <v>0.16666666666666666</v>
      </c>
      <c r="F11" s="312">
        <f>'P5'!S$51</f>
        <v>0</v>
      </c>
      <c r="G11" s="315">
        <f>'P5'!$T$51</f>
        <v>0.83333333333333326</v>
      </c>
      <c r="H11" s="314">
        <f>'P5'!R$52</f>
        <v>0.16666666666666666</v>
      </c>
      <c r="I11" s="308">
        <f>'P5'!S$52</f>
        <v>0</v>
      </c>
      <c r="J11" s="317">
        <f>'P5'!$T$52</f>
        <v>0.83333333333333326</v>
      </c>
      <c r="K11" s="316">
        <f>'P5'!$R$53</f>
        <v>0</v>
      </c>
      <c r="L11" s="309">
        <f>'P5'!$S$53</f>
        <v>0</v>
      </c>
      <c r="M11" s="319">
        <f>'P5'!$T$53</f>
        <v>0</v>
      </c>
      <c r="N11" s="318">
        <f>'P5'!$R$54</f>
        <v>0</v>
      </c>
      <c r="O11" s="310">
        <f>'P5'!$S$54</f>
        <v>0</v>
      </c>
      <c r="P11" s="321">
        <f>'P5'!$T$54</f>
        <v>0</v>
      </c>
      <c r="Q11" s="320">
        <f>'P5'!$R$55</f>
        <v>0</v>
      </c>
      <c r="R11" s="311">
        <f>'P5'!$S$55</f>
        <v>0</v>
      </c>
      <c r="S11" s="323">
        <f>'P5'!$T$55</f>
        <v>0</v>
      </c>
      <c r="T11" s="322">
        <f>'P5'!$S$56</f>
        <v>0</v>
      </c>
      <c r="U11" s="325">
        <f>'P5'!$T$56</f>
        <v>0</v>
      </c>
      <c r="V11" s="324">
        <f>'P5'!$Y$51</f>
        <v>0</v>
      </c>
    </row>
    <row r="12" spans="1:22" x14ac:dyDescent="0.2">
      <c r="A12" s="11" t="str">
        <f t="shared" ca="1" si="0"/>
        <v/>
      </c>
      <c r="B12" s="29">
        <f t="shared" si="1"/>
        <v>6</v>
      </c>
      <c r="C12" s="30">
        <f t="shared" si="2"/>
        <v>42807</v>
      </c>
      <c r="D12" s="31">
        <f t="shared" si="3"/>
        <v>42820</v>
      </c>
      <c r="E12" s="356">
        <f>'P6'!R$51</f>
        <v>0.16666666666666666</v>
      </c>
      <c r="F12" s="312">
        <f>'P6'!S$51</f>
        <v>0</v>
      </c>
      <c r="G12" s="315">
        <f>'P6'!$T$51</f>
        <v>0.99999999999999989</v>
      </c>
      <c r="H12" s="314">
        <f>'P6'!R$52</f>
        <v>0.16666666666666666</v>
      </c>
      <c r="I12" s="308">
        <f>'P6'!S$52</f>
        <v>0</v>
      </c>
      <c r="J12" s="317">
        <f>'P6'!$T$52</f>
        <v>0.99999999999999989</v>
      </c>
      <c r="K12" s="316">
        <f>'P6'!$R$53</f>
        <v>0</v>
      </c>
      <c r="L12" s="309">
        <f>'P6'!$S$53</f>
        <v>0</v>
      </c>
      <c r="M12" s="319">
        <f>'P6'!$T$53</f>
        <v>0</v>
      </c>
      <c r="N12" s="318">
        <f>'P6'!$R$54</f>
        <v>0</v>
      </c>
      <c r="O12" s="310">
        <f>'P6'!$S$54</f>
        <v>0</v>
      </c>
      <c r="P12" s="321">
        <f>'P6'!$T$54</f>
        <v>0</v>
      </c>
      <c r="Q12" s="320">
        <f>'P6'!$R$55</f>
        <v>0</v>
      </c>
      <c r="R12" s="311">
        <f>'P6'!$S$55</f>
        <v>0</v>
      </c>
      <c r="S12" s="323">
        <f>'P6'!$T$55</f>
        <v>0</v>
      </c>
      <c r="T12" s="322">
        <f>'P6'!$S$56</f>
        <v>0</v>
      </c>
      <c r="U12" s="325">
        <f>'P6'!$T$56</f>
        <v>0</v>
      </c>
      <c r="V12" s="324">
        <f>'P6'!$Y$51</f>
        <v>0</v>
      </c>
    </row>
    <row r="13" spans="1:22" x14ac:dyDescent="0.2">
      <c r="A13" s="11" t="str">
        <f t="shared" ca="1" si="0"/>
        <v/>
      </c>
      <c r="B13" s="29">
        <f t="shared" si="1"/>
        <v>7</v>
      </c>
      <c r="C13" s="30">
        <f t="shared" si="2"/>
        <v>42821</v>
      </c>
      <c r="D13" s="31">
        <f t="shared" si="3"/>
        <v>42834</v>
      </c>
      <c r="E13" s="356">
        <f>'P7'!R$51</f>
        <v>0.16666666666666666</v>
      </c>
      <c r="F13" s="312">
        <f>'P7'!S$51</f>
        <v>0</v>
      </c>
      <c r="G13" s="315">
        <f>'P7'!$T$51</f>
        <v>1.1666666666666665</v>
      </c>
      <c r="H13" s="314">
        <f>'P7'!R$52</f>
        <v>0.16666666666666666</v>
      </c>
      <c r="I13" s="308">
        <f>'P7'!S$52</f>
        <v>0</v>
      </c>
      <c r="J13" s="317">
        <f>'P7'!$T$52</f>
        <v>1.1666666666666665</v>
      </c>
      <c r="K13" s="316">
        <f>'P7'!$R$53</f>
        <v>0</v>
      </c>
      <c r="L13" s="309">
        <f>'P7'!$S$53</f>
        <v>0</v>
      </c>
      <c r="M13" s="319">
        <f>'P7'!$T$53</f>
        <v>0</v>
      </c>
      <c r="N13" s="318">
        <f>'P7'!$R$54</f>
        <v>0</v>
      </c>
      <c r="O13" s="310">
        <f>'P7'!$S$54</f>
        <v>0</v>
      </c>
      <c r="P13" s="321">
        <f>'P7'!$T$54</f>
        <v>0</v>
      </c>
      <c r="Q13" s="320">
        <f>'P7'!$R$55</f>
        <v>0</v>
      </c>
      <c r="R13" s="311">
        <f>'P7'!$S$55</f>
        <v>0</v>
      </c>
      <c r="S13" s="323">
        <f>'P7'!$T$55</f>
        <v>0</v>
      </c>
      <c r="T13" s="322">
        <f>'P7'!$S$56</f>
        <v>0</v>
      </c>
      <c r="U13" s="325">
        <f>'P7'!$T$56</f>
        <v>0</v>
      </c>
      <c r="V13" s="324">
        <f>'P7'!$Y$51</f>
        <v>0</v>
      </c>
    </row>
    <row r="14" spans="1:22" x14ac:dyDescent="0.2">
      <c r="A14" s="11" t="str">
        <f t="shared" ca="1" si="0"/>
        <v/>
      </c>
      <c r="B14" s="29">
        <f t="shared" si="1"/>
        <v>8</v>
      </c>
      <c r="C14" s="30">
        <f t="shared" si="2"/>
        <v>42835</v>
      </c>
      <c r="D14" s="31">
        <f t="shared" si="3"/>
        <v>42848</v>
      </c>
      <c r="E14" s="356">
        <f>'P8'!R$51</f>
        <v>0.16666666666666666</v>
      </c>
      <c r="F14" s="312">
        <f>'P8'!S$51</f>
        <v>0</v>
      </c>
      <c r="G14" s="315">
        <f>'P8'!$T$51</f>
        <v>1.3333333333333333</v>
      </c>
      <c r="H14" s="314">
        <f>'P8'!R$52</f>
        <v>0.16666666666666666</v>
      </c>
      <c r="I14" s="308">
        <f>'P8'!S$52</f>
        <v>0</v>
      </c>
      <c r="J14" s="317">
        <f>'P8'!$T$52</f>
        <v>1.3333333333333333</v>
      </c>
      <c r="K14" s="316">
        <f>'P8'!$R$53</f>
        <v>0</v>
      </c>
      <c r="L14" s="309">
        <f>'P8'!$S$53</f>
        <v>0</v>
      </c>
      <c r="M14" s="319">
        <f>'P8'!$T$53</f>
        <v>0</v>
      </c>
      <c r="N14" s="318">
        <f>'P8'!$R$54</f>
        <v>0</v>
      </c>
      <c r="O14" s="310">
        <f>'P8'!$S$54</f>
        <v>0</v>
      </c>
      <c r="P14" s="321">
        <f>'P8'!$T$54</f>
        <v>0</v>
      </c>
      <c r="Q14" s="320">
        <f>'P8'!$R$55</f>
        <v>0</v>
      </c>
      <c r="R14" s="311">
        <f>'P8'!$S$55</f>
        <v>0</v>
      </c>
      <c r="S14" s="323">
        <f>'P8'!$T$55</f>
        <v>0</v>
      </c>
      <c r="T14" s="322">
        <f>'P8'!$S$56</f>
        <v>0</v>
      </c>
      <c r="U14" s="325">
        <f>'P8'!$T$56</f>
        <v>0</v>
      </c>
      <c r="V14" s="324">
        <f>'P8'!$Y$51</f>
        <v>0</v>
      </c>
    </row>
    <row r="15" spans="1:22" x14ac:dyDescent="0.2">
      <c r="A15" s="11" t="str">
        <f t="shared" ca="1" si="0"/>
        <v/>
      </c>
      <c r="B15" s="29">
        <f t="shared" si="1"/>
        <v>9</v>
      </c>
      <c r="C15" s="30">
        <f t="shared" si="2"/>
        <v>42849</v>
      </c>
      <c r="D15" s="31">
        <f t="shared" si="3"/>
        <v>42862</v>
      </c>
      <c r="E15" s="356">
        <f>'P9'!R$51</f>
        <v>0.16666666666666666</v>
      </c>
      <c r="F15" s="312">
        <f>'P9'!S$51</f>
        <v>0</v>
      </c>
      <c r="G15" s="315">
        <f>'P9'!$T$51</f>
        <v>1.5</v>
      </c>
      <c r="H15" s="314">
        <f>'P9'!R$52</f>
        <v>0.16666666666666666</v>
      </c>
      <c r="I15" s="308">
        <f>'P9'!S$52</f>
        <v>0</v>
      </c>
      <c r="J15" s="317">
        <f>'P9'!$T$52</f>
        <v>1.5</v>
      </c>
      <c r="K15" s="316">
        <f>'P9'!$R$53</f>
        <v>0</v>
      </c>
      <c r="L15" s="309">
        <f>'P9'!$S$53</f>
        <v>0</v>
      </c>
      <c r="M15" s="319">
        <f>'P9'!$T$53</f>
        <v>0</v>
      </c>
      <c r="N15" s="318">
        <f>'P9'!$R$54</f>
        <v>0</v>
      </c>
      <c r="O15" s="310">
        <f>'P9'!$S$54</f>
        <v>0</v>
      </c>
      <c r="P15" s="321">
        <f>'P9'!$T$54</f>
        <v>0</v>
      </c>
      <c r="Q15" s="320">
        <f>'P9'!$R$55</f>
        <v>0</v>
      </c>
      <c r="R15" s="311">
        <f>'P9'!$S$55</f>
        <v>0</v>
      </c>
      <c r="S15" s="323">
        <f>'P9'!$T$55</f>
        <v>0</v>
      </c>
      <c r="T15" s="322">
        <f>'P9'!$S$56</f>
        <v>0</v>
      </c>
      <c r="U15" s="325">
        <f>'P9'!$T$56</f>
        <v>0</v>
      </c>
      <c r="V15" s="324">
        <f>'P9'!$Y$51</f>
        <v>0</v>
      </c>
    </row>
    <row r="16" spans="1:22" x14ac:dyDescent="0.2">
      <c r="A16" s="11" t="str">
        <f t="shared" ca="1" si="0"/>
        <v/>
      </c>
      <c r="B16" s="29">
        <f t="shared" si="1"/>
        <v>10</v>
      </c>
      <c r="C16" s="30">
        <f t="shared" si="2"/>
        <v>42863</v>
      </c>
      <c r="D16" s="31">
        <f t="shared" si="3"/>
        <v>42876</v>
      </c>
      <c r="E16" s="356">
        <f>'P10'!R$51</f>
        <v>0.16666666666666666</v>
      </c>
      <c r="F16" s="312">
        <f>'P10'!S$51</f>
        <v>0</v>
      </c>
      <c r="G16" s="315">
        <f>'P10'!$T$51</f>
        <v>1.6666666666666667</v>
      </c>
      <c r="H16" s="314">
        <f>'P10'!R$52</f>
        <v>0.16666666666666666</v>
      </c>
      <c r="I16" s="308">
        <f>'P10'!S$52</f>
        <v>0</v>
      </c>
      <c r="J16" s="317">
        <f>'P10'!$T$52</f>
        <v>1.6666666666666667</v>
      </c>
      <c r="K16" s="316">
        <f>'P10'!$R$53</f>
        <v>0</v>
      </c>
      <c r="L16" s="309">
        <f>'P10'!$S$53</f>
        <v>0</v>
      </c>
      <c r="M16" s="319">
        <f>'P10'!$T$53</f>
        <v>0</v>
      </c>
      <c r="N16" s="318">
        <f>'P10'!$R$54</f>
        <v>0</v>
      </c>
      <c r="O16" s="310">
        <f>'P10'!$S$54</f>
        <v>0</v>
      </c>
      <c r="P16" s="321">
        <f>'P10'!$T$54</f>
        <v>0</v>
      </c>
      <c r="Q16" s="320">
        <f>'P10'!$R$55</f>
        <v>0</v>
      </c>
      <c r="R16" s="311">
        <f>'P10'!$S$55</f>
        <v>0</v>
      </c>
      <c r="S16" s="323">
        <f>'P10'!$T$55</f>
        <v>0</v>
      </c>
      <c r="T16" s="322">
        <f>'P10'!$S$56</f>
        <v>0</v>
      </c>
      <c r="U16" s="325">
        <f>'P10'!$T$56</f>
        <v>0</v>
      </c>
      <c r="V16" s="324">
        <f>'P10'!$Y$51</f>
        <v>0</v>
      </c>
    </row>
    <row r="17" spans="1:22" x14ac:dyDescent="0.2">
      <c r="A17" s="11" t="str">
        <f t="shared" ca="1" si="0"/>
        <v/>
      </c>
      <c r="B17" s="29">
        <f t="shared" si="1"/>
        <v>11</v>
      </c>
      <c r="C17" s="30">
        <f t="shared" si="2"/>
        <v>42877</v>
      </c>
      <c r="D17" s="31">
        <f t="shared" si="3"/>
        <v>42890</v>
      </c>
      <c r="E17" s="356">
        <f>'P11'!R$51</f>
        <v>0.16666666666666666</v>
      </c>
      <c r="F17" s="312">
        <f>'P11'!S$51</f>
        <v>0</v>
      </c>
      <c r="G17" s="315">
        <f>'P11'!$T$51</f>
        <v>1.8333333333333335</v>
      </c>
      <c r="H17" s="314">
        <f>'P11'!R$52</f>
        <v>0.16666666666666666</v>
      </c>
      <c r="I17" s="308">
        <f>'P11'!S$52</f>
        <v>0</v>
      </c>
      <c r="J17" s="317">
        <f>'P11'!$T$52</f>
        <v>1.8333333333333335</v>
      </c>
      <c r="K17" s="316">
        <f>'P11'!$R$53</f>
        <v>0</v>
      </c>
      <c r="L17" s="309">
        <f>'P11'!$S$53</f>
        <v>0</v>
      </c>
      <c r="M17" s="319">
        <f>'P11'!$T$53</f>
        <v>0</v>
      </c>
      <c r="N17" s="318">
        <f>'P11'!$R$54</f>
        <v>0</v>
      </c>
      <c r="O17" s="310">
        <f>'P11'!$S$54</f>
        <v>0</v>
      </c>
      <c r="P17" s="321">
        <f>'P11'!$T$54</f>
        <v>0</v>
      </c>
      <c r="Q17" s="320">
        <f>'P11'!$R$55</f>
        <v>0</v>
      </c>
      <c r="R17" s="311">
        <f>'P11'!$S$55</f>
        <v>0</v>
      </c>
      <c r="S17" s="323">
        <f>'P11'!$T$55</f>
        <v>0</v>
      </c>
      <c r="T17" s="322">
        <f>'P11'!$S$56</f>
        <v>0</v>
      </c>
      <c r="U17" s="325">
        <f>'P11'!$T$56</f>
        <v>0</v>
      </c>
      <c r="V17" s="324">
        <f>'P11'!$Y$51</f>
        <v>0</v>
      </c>
    </row>
    <row r="18" spans="1:22" x14ac:dyDescent="0.2">
      <c r="A18" s="11" t="str">
        <f t="shared" ca="1" si="0"/>
        <v/>
      </c>
      <c r="B18" s="29">
        <f t="shared" si="1"/>
        <v>12</v>
      </c>
      <c r="C18" s="30">
        <f t="shared" si="2"/>
        <v>42891</v>
      </c>
      <c r="D18" s="31">
        <f t="shared" si="3"/>
        <v>42904</v>
      </c>
      <c r="E18" s="356">
        <f>'P12'!R$51</f>
        <v>0.16666666666666666</v>
      </c>
      <c r="F18" s="312">
        <f>'P12'!S$51</f>
        <v>0</v>
      </c>
      <c r="G18" s="315">
        <f>'P12'!$T$51</f>
        <v>2</v>
      </c>
      <c r="H18" s="314">
        <f>'P12'!R$52</f>
        <v>0.16666666666666666</v>
      </c>
      <c r="I18" s="308">
        <f>'P12'!S$52</f>
        <v>0</v>
      </c>
      <c r="J18" s="317">
        <f>'P12'!$T$52</f>
        <v>2</v>
      </c>
      <c r="K18" s="316">
        <f>'P12'!$R$53</f>
        <v>0</v>
      </c>
      <c r="L18" s="309">
        <f>'P12'!$S$53</f>
        <v>0</v>
      </c>
      <c r="M18" s="319">
        <f>'P12'!$T$53</f>
        <v>0</v>
      </c>
      <c r="N18" s="318">
        <f>'P12'!$R$54</f>
        <v>0</v>
      </c>
      <c r="O18" s="310">
        <f>'P12'!$S$54</f>
        <v>0</v>
      </c>
      <c r="P18" s="321">
        <f>'P12'!$T$54</f>
        <v>0</v>
      </c>
      <c r="Q18" s="320">
        <f>'P12'!$R$55</f>
        <v>0</v>
      </c>
      <c r="R18" s="311">
        <f>'P12'!$S$55</f>
        <v>0</v>
      </c>
      <c r="S18" s="323">
        <f>'P12'!$T$55</f>
        <v>0</v>
      </c>
      <c r="T18" s="322">
        <f>'P12'!$S$56</f>
        <v>0</v>
      </c>
      <c r="U18" s="325">
        <f>'P12'!$T$56</f>
        <v>0</v>
      </c>
      <c r="V18" s="324">
        <f>'P12'!$Y$51</f>
        <v>0</v>
      </c>
    </row>
    <row r="19" spans="1:22" x14ac:dyDescent="0.2">
      <c r="A19" s="11" t="str">
        <f t="shared" ca="1" si="0"/>
        <v/>
      </c>
      <c r="B19" s="29">
        <f t="shared" si="1"/>
        <v>13</v>
      </c>
      <c r="C19" s="30">
        <f t="shared" si="2"/>
        <v>42905</v>
      </c>
      <c r="D19" s="31">
        <f t="shared" si="3"/>
        <v>42918</v>
      </c>
      <c r="E19" s="356">
        <f>'P13'!R$51</f>
        <v>0.16666666666666666</v>
      </c>
      <c r="F19" s="312">
        <f>'P13'!S$51</f>
        <v>0</v>
      </c>
      <c r="G19" s="315">
        <f>'P13'!$T$51</f>
        <v>2.1666666666666665</v>
      </c>
      <c r="H19" s="314">
        <f>'P13'!R$52</f>
        <v>0.16666666666666666</v>
      </c>
      <c r="I19" s="308">
        <f>'P13'!S$52</f>
        <v>0</v>
      </c>
      <c r="J19" s="317">
        <f>'P13'!$T$52</f>
        <v>2.1666666666666665</v>
      </c>
      <c r="K19" s="316">
        <f>'P13'!$R$53</f>
        <v>0</v>
      </c>
      <c r="L19" s="309">
        <f>'P13'!$S$53</f>
        <v>0</v>
      </c>
      <c r="M19" s="319">
        <f>'P13'!$T$53</f>
        <v>0</v>
      </c>
      <c r="N19" s="318">
        <f>'P13'!$R$54</f>
        <v>0</v>
      </c>
      <c r="O19" s="310">
        <f>'P13'!$S$54</f>
        <v>0</v>
      </c>
      <c r="P19" s="321">
        <f>'P13'!$T$54</f>
        <v>0</v>
      </c>
      <c r="Q19" s="320">
        <f>'P13'!$R$55</f>
        <v>0</v>
      </c>
      <c r="R19" s="311">
        <f>'P13'!$S$55</f>
        <v>0</v>
      </c>
      <c r="S19" s="323">
        <f>'P13'!$T$55</f>
        <v>0</v>
      </c>
      <c r="T19" s="322">
        <f>'P13'!$S$56</f>
        <v>0</v>
      </c>
      <c r="U19" s="325">
        <f>'P13'!$T$56</f>
        <v>0</v>
      </c>
      <c r="V19" s="324">
        <f>'P13'!$Y$51</f>
        <v>0</v>
      </c>
    </row>
    <row r="20" spans="1:22" x14ac:dyDescent="0.2">
      <c r="A20" s="11" t="str">
        <f t="shared" ca="1" si="0"/>
        <v/>
      </c>
      <c r="B20" s="29">
        <f t="shared" si="1"/>
        <v>14</v>
      </c>
      <c r="C20" s="30">
        <f t="shared" si="2"/>
        <v>42919</v>
      </c>
      <c r="D20" s="31">
        <f t="shared" si="3"/>
        <v>42932</v>
      </c>
      <c r="E20" s="356">
        <f>'P14'!R$51</f>
        <v>0.16666666666666666</v>
      </c>
      <c r="F20" s="312">
        <f>'P14'!S$51</f>
        <v>0</v>
      </c>
      <c r="G20" s="315">
        <f>'P14'!$T$51</f>
        <v>2.333333333333333</v>
      </c>
      <c r="H20" s="314">
        <f>'P14'!R$52</f>
        <v>0.16666666666666666</v>
      </c>
      <c r="I20" s="308">
        <f>'P14'!S$52</f>
        <v>0</v>
      </c>
      <c r="J20" s="317">
        <f>'P14'!$T$52</f>
        <v>2.333333333333333</v>
      </c>
      <c r="K20" s="316">
        <f>'P14'!$R$53</f>
        <v>0</v>
      </c>
      <c r="L20" s="309">
        <f>'P14'!$S$53</f>
        <v>0</v>
      </c>
      <c r="M20" s="319">
        <f>'P14'!$T$53</f>
        <v>0</v>
      </c>
      <c r="N20" s="318">
        <f>'P14'!$R$54</f>
        <v>0</v>
      </c>
      <c r="O20" s="310">
        <f>'P14'!$S$54</f>
        <v>0</v>
      </c>
      <c r="P20" s="321">
        <f>'P14'!$T$54</f>
        <v>0</v>
      </c>
      <c r="Q20" s="320">
        <f>'P14'!$R$55</f>
        <v>0</v>
      </c>
      <c r="R20" s="311">
        <f>'P14'!$S$55</f>
        <v>0</v>
      </c>
      <c r="S20" s="323">
        <f>'P14'!$T$55</f>
        <v>0</v>
      </c>
      <c r="T20" s="322">
        <f>'P14'!$S$56</f>
        <v>0</v>
      </c>
      <c r="U20" s="325">
        <f>'P14'!$T$56</f>
        <v>0</v>
      </c>
      <c r="V20" s="324">
        <f>'P14'!$Y$51</f>
        <v>0</v>
      </c>
    </row>
    <row r="21" spans="1:22" x14ac:dyDescent="0.2">
      <c r="A21" s="11" t="str">
        <f t="shared" ca="1" si="0"/>
        <v/>
      </c>
      <c r="B21" s="29">
        <f t="shared" si="1"/>
        <v>15</v>
      </c>
      <c r="C21" s="30">
        <f t="shared" si="2"/>
        <v>42933</v>
      </c>
      <c r="D21" s="31">
        <f t="shared" si="3"/>
        <v>42946</v>
      </c>
      <c r="E21" s="356">
        <f>'P15'!R$51</f>
        <v>0.16666666666666666</v>
      </c>
      <c r="F21" s="312">
        <f>'P15'!S$51</f>
        <v>0</v>
      </c>
      <c r="G21" s="315">
        <f>'P15'!$T$51</f>
        <v>2.4999999999999996</v>
      </c>
      <c r="H21" s="314">
        <f>'P15'!R$52</f>
        <v>0.16666666666666666</v>
      </c>
      <c r="I21" s="308">
        <f>'P15'!S$52</f>
        <v>0</v>
      </c>
      <c r="J21" s="317">
        <f>'P15'!$T$52</f>
        <v>2.4999999999999996</v>
      </c>
      <c r="K21" s="316">
        <f>'P15'!$R$53</f>
        <v>0</v>
      </c>
      <c r="L21" s="309">
        <f>'P15'!$S$53</f>
        <v>0</v>
      </c>
      <c r="M21" s="319">
        <f>'P15'!$T$53</f>
        <v>0</v>
      </c>
      <c r="N21" s="318">
        <f>'P15'!$R$54</f>
        <v>0</v>
      </c>
      <c r="O21" s="310">
        <f>'P15'!$S$54</f>
        <v>0</v>
      </c>
      <c r="P21" s="321">
        <f>'P15'!$T$54</f>
        <v>0</v>
      </c>
      <c r="Q21" s="320">
        <f>'P15'!$R$55</f>
        <v>0</v>
      </c>
      <c r="R21" s="311">
        <f>'P15'!$S$55</f>
        <v>0</v>
      </c>
      <c r="S21" s="323">
        <f>'P15'!$T$55</f>
        <v>0</v>
      </c>
      <c r="T21" s="322">
        <f>'P15'!$S$56</f>
        <v>0</v>
      </c>
      <c r="U21" s="325">
        <f>'P15'!$T$56</f>
        <v>0</v>
      </c>
      <c r="V21" s="324">
        <f>'P15'!$Y$51</f>
        <v>0</v>
      </c>
    </row>
    <row r="22" spans="1:22" x14ac:dyDescent="0.2">
      <c r="A22" s="11" t="str">
        <f t="shared" ca="1" si="0"/>
        <v/>
      </c>
      <c r="B22" s="29">
        <f t="shared" si="1"/>
        <v>16</v>
      </c>
      <c r="C22" s="30">
        <f t="shared" si="2"/>
        <v>42947</v>
      </c>
      <c r="D22" s="31">
        <f t="shared" si="3"/>
        <v>42960</v>
      </c>
      <c r="E22" s="356">
        <f>'P16'!R$51</f>
        <v>0.16666666666666666</v>
      </c>
      <c r="F22" s="312">
        <f>'P16'!S$51</f>
        <v>0</v>
      </c>
      <c r="G22" s="315">
        <f>'P16'!$T$51</f>
        <v>2.6666666666666661</v>
      </c>
      <c r="H22" s="314">
        <f>'P16'!R$52</f>
        <v>0.16666666666666666</v>
      </c>
      <c r="I22" s="308">
        <f>'P16'!S$52</f>
        <v>0</v>
      </c>
      <c r="J22" s="317">
        <f>'P16'!$T$52</f>
        <v>2.6666666666666661</v>
      </c>
      <c r="K22" s="316">
        <f>'P16'!$R$53</f>
        <v>0</v>
      </c>
      <c r="L22" s="309">
        <f>'P16'!$S$53</f>
        <v>0</v>
      </c>
      <c r="M22" s="319">
        <f>'P16'!$T$53</f>
        <v>0</v>
      </c>
      <c r="N22" s="318">
        <f>'P16'!$R$54</f>
        <v>0</v>
      </c>
      <c r="O22" s="310">
        <f>'P16'!$S$54</f>
        <v>0</v>
      </c>
      <c r="P22" s="321">
        <f>'P16'!$T$54</f>
        <v>0</v>
      </c>
      <c r="Q22" s="320">
        <f>'P16'!$R$55</f>
        <v>0</v>
      </c>
      <c r="R22" s="311">
        <f>'P16'!$S$55</f>
        <v>0</v>
      </c>
      <c r="S22" s="323">
        <f>'P16'!$T$55</f>
        <v>0</v>
      </c>
      <c r="T22" s="322">
        <f>'P16'!$S$56</f>
        <v>0</v>
      </c>
      <c r="U22" s="325">
        <f>'P16'!$T$56</f>
        <v>0</v>
      </c>
      <c r="V22" s="324">
        <f>'P16'!$Y$51</f>
        <v>0</v>
      </c>
    </row>
    <row r="23" spans="1:22" x14ac:dyDescent="0.2">
      <c r="A23" s="11" t="str">
        <f t="shared" ca="1" si="0"/>
        <v/>
      </c>
      <c r="B23" s="29">
        <f t="shared" si="1"/>
        <v>17</v>
      </c>
      <c r="C23" s="30">
        <f t="shared" si="2"/>
        <v>42961</v>
      </c>
      <c r="D23" s="31">
        <f t="shared" si="3"/>
        <v>42974</v>
      </c>
      <c r="E23" s="356">
        <f>'P17'!R$51</f>
        <v>0.16666666666666666</v>
      </c>
      <c r="F23" s="312">
        <f>'P17'!S$51</f>
        <v>0</v>
      </c>
      <c r="G23" s="315">
        <f>'P17'!$T$51</f>
        <v>2.8333333333333326</v>
      </c>
      <c r="H23" s="314">
        <f>'P17'!R$52</f>
        <v>0.16666666666666666</v>
      </c>
      <c r="I23" s="308">
        <f>'P17'!S$52</f>
        <v>0</v>
      </c>
      <c r="J23" s="317">
        <f>'P17'!$T$52</f>
        <v>2.8333333333333326</v>
      </c>
      <c r="K23" s="316">
        <f>'P17'!$R$53</f>
        <v>0</v>
      </c>
      <c r="L23" s="309">
        <f>'P17'!$S$53</f>
        <v>0</v>
      </c>
      <c r="M23" s="319">
        <f>'P17'!$T$53</f>
        <v>0</v>
      </c>
      <c r="N23" s="318">
        <f>'P17'!$R$54</f>
        <v>0</v>
      </c>
      <c r="O23" s="310">
        <f>'P17'!$S$54</f>
        <v>0</v>
      </c>
      <c r="P23" s="321">
        <f>'P17'!$T$54</f>
        <v>0</v>
      </c>
      <c r="Q23" s="320">
        <f>'P17'!$R$55</f>
        <v>0</v>
      </c>
      <c r="R23" s="311">
        <f>'P17'!$S$55</f>
        <v>0</v>
      </c>
      <c r="S23" s="323">
        <f>'P17'!$T$55</f>
        <v>0</v>
      </c>
      <c r="T23" s="322">
        <f>'P17'!$S$56</f>
        <v>0</v>
      </c>
      <c r="U23" s="325">
        <f>'P17'!$T$56</f>
        <v>0</v>
      </c>
      <c r="V23" s="324">
        <f>'P17'!$Y$51</f>
        <v>0</v>
      </c>
    </row>
    <row r="24" spans="1:22" x14ac:dyDescent="0.2">
      <c r="A24" s="11" t="str">
        <f t="shared" ca="1" si="0"/>
        <v/>
      </c>
      <c r="B24" s="29">
        <f t="shared" si="1"/>
        <v>18</v>
      </c>
      <c r="C24" s="30">
        <f t="shared" si="2"/>
        <v>42975</v>
      </c>
      <c r="D24" s="31">
        <f t="shared" si="3"/>
        <v>42988</v>
      </c>
      <c r="E24" s="356">
        <f>'P18'!R$51</f>
        <v>0.16666666666666666</v>
      </c>
      <c r="F24" s="312">
        <f>'P18'!S$51</f>
        <v>0</v>
      </c>
      <c r="G24" s="315">
        <f>'P18'!$T$51</f>
        <v>2.9999999999999991</v>
      </c>
      <c r="H24" s="314">
        <f>'P18'!R$52</f>
        <v>0.16666666666666666</v>
      </c>
      <c r="I24" s="308">
        <f>'P18'!S$52</f>
        <v>0</v>
      </c>
      <c r="J24" s="317">
        <f>'P18'!$T$52</f>
        <v>2.9999999999999991</v>
      </c>
      <c r="K24" s="316">
        <f>'P18'!$R$53</f>
        <v>0</v>
      </c>
      <c r="L24" s="309">
        <f>'P18'!$S$53</f>
        <v>0</v>
      </c>
      <c r="M24" s="319">
        <f>'P18'!$T$53</f>
        <v>0</v>
      </c>
      <c r="N24" s="318">
        <f>'P18'!$R$54</f>
        <v>0</v>
      </c>
      <c r="O24" s="310">
        <f>'P18'!$S$54</f>
        <v>0</v>
      </c>
      <c r="P24" s="321">
        <f>'P18'!$T$54</f>
        <v>0</v>
      </c>
      <c r="Q24" s="320">
        <f>'P18'!$R$55</f>
        <v>0</v>
      </c>
      <c r="R24" s="311">
        <f>'P18'!$S$55</f>
        <v>0</v>
      </c>
      <c r="S24" s="323">
        <f>'P18'!$T$55</f>
        <v>0</v>
      </c>
      <c r="T24" s="322">
        <f>'P18'!$S$56</f>
        <v>0</v>
      </c>
      <c r="U24" s="325">
        <f>'P18'!$T$56</f>
        <v>0</v>
      </c>
      <c r="V24" s="324">
        <f>'P18'!$Y$51</f>
        <v>0</v>
      </c>
    </row>
    <row r="25" spans="1:22" x14ac:dyDescent="0.2">
      <c r="A25" s="11" t="str">
        <f t="shared" ca="1" si="0"/>
        <v/>
      </c>
      <c r="B25" s="29">
        <f t="shared" si="1"/>
        <v>19</v>
      </c>
      <c r="C25" s="30">
        <f t="shared" si="2"/>
        <v>42989</v>
      </c>
      <c r="D25" s="31">
        <f t="shared" si="3"/>
        <v>43002</v>
      </c>
      <c r="E25" s="356">
        <f>'P19'!R$51</f>
        <v>0.16666666666666666</v>
      </c>
      <c r="F25" s="312">
        <f>'P19'!S$51</f>
        <v>0</v>
      </c>
      <c r="G25" s="315">
        <f>'P19'!$T$51</f>
        <v>3.1666666666666656</v>
      </c>
      <c r="H25" s="314">
        <f>'P19'!R$52</f>
        <v>0.16666666666666666</v>
      </c>
      <c r="I25" s="308">
        <f>'P19'!S$52</f>
        <v>0</v>
      </c>
      <c r="J25" s="317">
        <f>'P19'!$T$52</f>
        <v>3.1666666666666656</v>
      </c>
      <c r="K25" s="316">
        <f>'P19'!$R$53</f>
        <v>0</v>
      </c>
      <c r="L25" s="309">
        <f>'P19'!$S$53</f>
        <v>0</v>
      </c>
      <c r="M25" s="319">
        <f>'P19'!$T$53</f>
        <v>0</v>
      </c>
      <c r="N25" s="318">
        <f>'P19'!$R$54</f>
        <v>0</v>
      </c>
      <c r="O25" s="310">
        <f>'P19'!$S$54</f>
        <v>0</v>
      </c>
      <c r="P25" s="321">
        <f>'P19'!$T$54</f>
        <v>0</v>
      </c>
      <c r="Q25" s="320">
        <f>'P19'!$R$55</f>
        <v>0</v>
      </c>
      <c r="R25" s="311">
        <f>'P19'!$S$55</f>
        <v>0</v>
      </c>
      <c r="S25" s="323">
        <f>'P19'!$T$55</f>
        <v>0</v>
      </c>
      <c r="T25" s="322">
        <f>'P19'!$S$56</f>
        <v>0</v>
      </c>
      <c r="U25" s="325">
        <f>'P19'!$T$56</f>
        <v>0</v>
      </c>
      <c r="V25" s="324">
        <f>'P19'!$Y$51</f>
        <v>0</v>
      </c>
    </row>
    <row r="26" spans="1:22" x14ac:dyDescent="0.2">
      <c r="A26" s="11" t="str">
        <f t="shared" ca="1" si="0"/>
        <v/>
      </c>
      <c r="B26" s="29">
        <f t="shared" si="1"/>
        <v>20</v>
      </c>
      <c r="C26" s="30">
        <f t="shared" si="2"/>
        <v>43003</v>
      </c>
      <c r="D26" s="31">
        <f t="shared" si="3"/>
        <v>43016</v>
      </c>
      <c r="E26" s="356">
        <f>'P20'!R$51</f>
        <v>0.16666666666666666</v>
      </c>
      <c r="F26" s="312">
        <f>'P20'!S$51</f>
        <v>0</v>
      </c>
      <c r="G26" s="315">
        <f>'P20'!$T$51</f>
        <v>3.3333333333333321</v>
      </c>
      <c r="H26" s="314">
        <f>'P20'!R$52</f>
        <v>0.16666666666666666</v>
      </c>
      <c r="I26" s="308">
        <f>'P20'!S$52</f>
        <v>0</v>
      </c>
      <c r="J26" s="317">
        <f>'P20'!$T$52</f>
        <v>3.3333333333333321</v>
      </c>
      <c r="K26" s="316">
        <f>'P20'!$R$53</f>
        <v>0</v>
      </c>
      <c r="L26" s="309">
        <f>'P20'!$S$53</f>
        <v>0</v>
      </c>
      <c r="M26" s="319">
        <f>'P20'!$T$53</f>
        <v>0</v>
      </c>
      <c r="N26" s="318">
        <f>'P20'!$R$54</f>
        <v>0</v>
      </c>
      <c r="O26" s="310">
        <f>'P20'!$S$54</f>
        <v>0</v>
      </c>
      <c r="P26" s="321">
        <f>'P20'!$T$54</f>
        <v>0</v>
      </c>
      <c r="Q26" s="320">
        <f>'P20'!$R$55</f>
        <v>0</v>
      </c>
      <c r="R26" s="311">
        <f>'P20'!$S$55</f>
        <v>0</v>
      </c>
      <c r="S26" s="323">
        <f>'P20'!$T$55</f>
        <v>0</v>
      </c>
      <c r="T26" s="322">
        <f>'P20'!$S$56</f>
        <v>0</v>
      </c>
      <c r="U26" s="325">
        <f>'P20'!$T$56</f>
        <v>0</v>
      </c>
      <c r="V26" s="324">
        <f>'P20'!$Y$51</f>
        <v>0</v>
      </c>
    </row>
    <row r="27" spans="1:22" x14ac:dyDescent="0.2">
      <c r="A27" s="11" t="str">
        <f t="shared" ca="1" si="0"/>
        <v/>
      </c>
      <c r="B27" s="29">
        <f t="shared" si="1"/>
        <v>21</v>
      </c>
      <c r="C27" s="30">
        <f t="shared" si="2"/>
        <v>43017</v>
      </c>
      <c r="D27" s="31">
        <f t="shared" si="3"/>
        <v>43030</v>
      </c>
      <c r="E27" s="356">
        <f>'P21'!R$51</f>
        <v>0.16666666666666666</v>
      </c>
      <c r="F27" s="312">
        <f>'P21'!S$51</f>
        <v>0</v>
      </c>
      <c r="G27" s="315">
        <f>'P21'!$T$51</f>
        <v>3.4999999999999987</v>
      </c>
      <c r="H27" s="314">
        <f>'P21'!R$52</f>
        <v>0.16666666666666666</v>
      </c>
      <c r="I27" s="308">
        <f>'P21'!S$52</f>
        <v>0</v>
      </c>
      <c r="J27" s="317">
        <f>'P21'!$T$52</f>
        <v>3.4999999999999987</v>
      </c>
      <c r="K27" s="316">
        <f>'P21'!$R$53</f>
        <v>0</v>
      </c>
      <c r="L27" s="309">
        <f>'P21'!$S$53</f>
        <v>0</v>
      </c>
      <c r="M27" s="319">
        <f>'P21'!$T$53</f>
        <v>0</v>
      </c>
      <c r="N27" s="318">
        <f>'P21'!$R$54</f>
        <v>0</v>
      </c>
      <c r="O27" s="310">
        <f>'P21'!$S$54</f>
        <v>0</v>
      </c>
      <c r="P27" s="321">
        <f>'P21'!$T$54</f>
        <v>0</v>
      </c>
      <c r="Q27" s="320">
        <f>'P21'!$R$55</f>
        <v>0</v>
      </c>
      <c r="R27" s="311">
        <f>'P21'!$S$55</f>
        <v>0</v>
      </c>
      <c r="S27" s="323">
        <f>'P21'!$T$55</f>
        <v>0</v>
      </c>
      <c r="T27" s="322">
        <f>'P21'!$S$56</f>
        <v>0</v>
      </c>
      <c r="U27" s="325">
        <f>'P21'!$T$56</f>
        <v>0</v>
      </c>
      <c r="V27" s="324">
        <f>'P21'!$Y$51</f>
        <v>0</v>
      </c>
    </row>
    <row r="28" spans="1:22" x14ac:dyDescent="0.2">
      <c r="A28" s="11" t="str">
        <f t="shared" ca="1" si="0"/>
        <v/>
      </c>
      <c r="B28" s="29">
        <f t="shared" si="1"/>
        <v>22</v>
      </c>
      <c r="C28" s="30">
        <f t="shared" si="2"/>
        <v>43031</v>
      </c>
      <c r="D28" s="31">
        <f t="shared" si="3"/>
        <v>43044</v>
      </c>
      <c r="E28" s="356">
        <f>'P22'!R$51</f>
        <v>0.16666666666666666</v>
      </c>
      <c r="F28" s="312">
        <f>'P22'!S$51</f>
        <v>0</v>
      </c>
      <c r="G28" s="315">
        <f>'P22'!$T$51</f>
        <v>3.6666666666666652</v>
      </c>
      <c r="H28" s="314">
        <f>'P22'!R$52</f>
        <v>0.16666666666666666</v>
      </c>
      <c r="I28" s="308">
        <f>'P22'!S$52</f>
        <v>0</v>
      </c>
      <c r="J28" s="317">
        <f>'P22'!$T$52</f>
        <v>3.6666666666666652</v>
      </c>
      <c r="K28" s="316">
        <f>'P22'!$R$53</f>
        <v>0</v>
      </c>
      <c r="L28" s="309">
        <f>'P22'!$S$53</f>
        <v>0</v>
      </c>
      <c r="M28" s="319">
        <f>'P22'!$T$53</f>
        <v>0</v>
      </c>
      <c r="N28" s="318">
        <f>'P22'!$R$54</f>
        <v>0</v>
      </c>
      <c r="O28" s="310">
        <f>'P22'!$S$54</f>
        <v>0</v>
      </c>
      <c r="P28" s="321">
        <f>'P22'!$T$54</f>
        <v>0</v>
      </c>
      <c r="Q28" s="320">
        <f>'P22'!$R$55</f>
        <v>0</v>
      </c>
      <c r="R28" s="311">
        <f>'P22'!$S$55</f>
        <v>0</v>
      </c>
      <c r="S28" s="323">
        <f>'P22'!$T$55</f>
        <v>0</v>
      </c>
      <c r="T28" s="322">
        <f>'P22'!$S$56</f>
        <v>0</v>
      </c>
      <c r="U28" s="325">
        <f>'P22'!$T$56</f>
        <v>0</v>
      </c>
      <c r="V28" s="324">
        <f>'P22'!$Y$51</f>
        <v>0</v>
      </c>
    </row>
    <row r="29" spans="1:22" x14ac:dyDescent="0.2">
      <c r="A29" s="11" t="str">
        <f t="shared" ca="1" si="0"/>
        <v/>
      </c>
      <c r="B29" s="29">
        <f t="shared" si="1"/>
        <v>23</v>
      </c>
      <c r="C29" s="30">
        <f t="shared" si="2"/>
        <v>43045</v>
      </c>
      <c r="D29" s="31">
        <f t="shared" si="3"/>
        <v>43058</v>
      </c>
      <c r="E29" s="356">
        <f>'P23'!R$51</f>
        <v>0.16666666666666666</v>
      </c>
      <c r="F29" s="312">
        <f>'P23'!S$51</f>
        <v>0</v>
      </c>
      <c r="G29" s="315">
        <f>'P23'!$T$51</f>
        <v>3.8333333333333317</v>
      </c>
      <c r="H29" s="314">
        <f>'P23'!R$52</f>
        <v>0.16666666666666666</v>
      </c>
      <c r="I29" s="308">
        <f>'P23'!S$52</f>
        <v>0</v>
      </c>
      <c r="J29" s="317">
        <f>'P23'!$T$52</f>
        <v>3.8333333333333317</v>
      </c>
      <c r="K29" s="316">
        <f>'P23'!$R$53</f>
        <v>0</v>
      </c>
      <c r="L29" s="309">
        <f>'P23'!$S$53</f>
        <v>0</v>
      </c>
      <c r="M29" s="319">
        <f>'P23'!$T$53</f>
        <v>0</v>
      </c>
      <c r="N29" s="318">
        <f>'P23'!$R$54</f>
        <v>0</v>
      </c>
      <c r="O29" s="310">
        <f>'P23'!$S$54</f>
        <v>0</v>
      </c>
      <c r="P29" s="321">
        <f>'P23'!$T$54</f>
        <v>0</v>
      </c>
      <c r="Q29" s="320">
        <f>'P23'!$R$55</f>
        <v>0</v>
      </c>
      <c r="R29" s="311">
        <f>'P23'!$S$55</f>
        <v>0</v>
      </c>
      <c r="S29" s="323">
        <f>'P23'!$T$55</f>
        <v>0</v>
      </c>
      <c r="T29" s="322">
        <f>'P23'!$S$56</f>
        <v>0</v>
      </c>
      <c r="U29" s="325">
        <f>'P23'!$T$56</f>
        <v>0</v>
      </c>
      <c r="V29" s="324">
        <f>'P23'!$Y$51</f>
        <v>0</v>
      </c>
    </row>
    <row r="30" spans="1:22" x14ac:dyDescent="0.2">
      <c r="A30" s="11" t="str">
        <f t="shared" ca="1" si="0"/>
        <v/>
      </c>
      <c r="B30" s="29">
        <f t="shared" si="1"/>
        <v>24</v>
      </c>
      <c r="C30" s="30">
        <f t="shared" si="2"/>
        <v>43059</v>
      </c>
      <c r="D30" s="31">
        <f t="shared" si="3"/>
        <v>43072</v>
      </c>
      <c r="E30" s="356">
        <f>'P24'!R$51</f>
        <v>0.16666666666666666</v>
      </c>
      <c r="F30" s="312">
        <f>'P24'!S$51</f>
        <v>0</v>
      </c>
      <c r="G30" s="315">
        <f>'P24'!$T$51</f>
        <v>3.9999999999999982</v>
      </c>
      <c r="H30" s="314">
        <f>'P24'!R$52</f>
        <v>0.16666666666666666</v>
      </c>
      <c r="I30" s="308">
        <f>'P24'!S$52</f>
        <v>0</v>
      </c>
      <c r="J30" s="317">
        <f>'P24'!$T$52</f>
        <v>3.9999999999999982</v>
      </c>
      <c r="K30" s="316">
        <f>'P24'!$R$53</f>
        <v>0</v>
      </c>
      <c r="L30" s="309">
        <f>'P24'!$S$53</f>
        <v>0</v>
      </c>
      <c r="M30" s="319">
        <f>'P24'!$T$53</f>
        <v>0</v>
      </c>
      <c r="N30" s="318">
        <f>'P24'!$R$54</f>
        <v>0</v>
      </c>
      <c r="O30" s="310">
        <f>'P24'!$S$54</f>
        <v>0</v>
      </c>
      <c r="P30" s="321">
        <f>'P24'!$T$54</f>
        <v>0</v>
      </c>
      <c r="Q30" s="320">
        <f>'P24'!$R$55</f>
        <v>0</v>
      </c>
      <c r="R30" s="311">
        <f>'P24'!$S$55</f>
        <v>0</v>
      </c>
      <c r="S30" s="323">
        <f>'P24'!$T$55</f>
        <v>0</v>
      </c>
      <c r="T30" s="322">
        <f>'P24'!$S$56</f>
        <v>0</v>
      </c>
      <c r="U30" s="325">
        <f>'P24'!$T$56</f>
        <v>0</v>
      </c>
      <c r="V30" s="324">
        <f>'P24'!$Y$51</f>
        <v>0</v>
      </c>
    </row>
    <row r="31" spans="1:22" x14ac:dyDescent="0.2">
      <c r="A31" s="11" t="str">
        <f t="shared" ca="1" si="0"/>
        <v/>
      </c>
      <c r="B31" s="29">
        <f t="shared" si="1"/>
        <v>25</v>
      </c>
      <c r="C31" s="30">
        <f t="shared" si="2"/>
        <v>43073</v>
      </c>
      <c r="D31" s="31">
        <f t="shared" si="3"/>
        <v>43086</v>
      </c>
      <c r="E31" s="356">
        <f>'P25'!R$51</f>
        <v>0.16666666666666666</v>
      </c>
      <c r="F31" s="312">
        <f>'P25'!S$51</f>
        <v>0</v>
      </c>
      <c r="G31" s="315">
        <f>'P25'!$T$51</f>
        <v>4.1666666666666652</v>
      </c>
      <c r="H31" s="314">
        <f>'P25'!R$52</f>
        <v>0.16666666666666666</v>
      </c>
      <c r="I31" s="308">
        <f>'P25'!S$52</f>
        <v>0</v>
      </c>
      <c r="J31" s="317">
        <f>'P25'!$T$52</f>
        <v>4.1666666666666652</v>
      </c>
      <c r="K31" s="316">
        <f>'P25'!$R$53</f>
        <v>0</v>
      </c>
      <c r="L31" s="309">
        <f>'P25'!$S$53</f>
        <v>0</v>
      </c>
      <c r="M31" s="319">
        <f>'P25'!$T$53</f>
        <v>0</v>
      </c>
      <c r="N31" s="318">
        <f>'P25'!$R$54</f>
        <v>0</v>
      </c>
      <c r="O31" s="310">
        <f>'P25'!$S$54</f>
        <v>0</v>
      </c>
      <c r="P31" s="321">
        <f>'P25'!$T$54</f>
        <v>0</v>
      </c>
      <c r="Q31" s="320">
        <f>'P25'!$R$55</f>
        <v>0</v>
      </c>
      <c r="R31" s="311">
        <f>'P25'!$S$55</f>
        <v>0</v>
      </c>
      <c r="S31" s="323">
        <f>'P25'!$T$55</f>
        <v>0</v>
      </c>
      <c r="T31" s="322">
        <f>'P25'!$S$56</f>
        <v>0</v>
      </c>
      <c r="U31" s="325">
        <f>'P25'!$T$56</f>
        <v>0</v>
      </c>
      <c r="V31" s="324">
        <f>'P25'!$Y$51</f>
        <v>0</v>
      </c>
    </row>
    <row r="32" spans="1:22" x14ac:dyDescent="0.2">
      <c r="A32" s="11" t="str">
        <f t="shared" ca="1" si="0"/>
        <v/>
      </c>
      <c r="B32" s="29">
        <f t="shared" si="1"/>
        <v>26</v>
      </c>
      <c r="C32" s="30">
        <f t="shared" si="2"/>
        <v>43087</v>
      </c>
      <c r="D32" s="31">
        <f t="shared" si="3"/>
        <v>43100</v>
      </c>
      <c r="E32" s="356">
        <f>'P26'!R$51</f>
        <v>0.16666666666666666</v>
      </c>
      <c r="F32" s="312">
        <f>'P26'!S$51</f>
        <v>0</v>
      </c>
      <c r="G32" s="315">
        <f>'P26'!$T$51</f>
        <v>4.3333333333333321</v>
      </c>
      <c r="H32" s="314">
        <f>'P26'!R$52</f>
        <v>0.16666666666666666</v>
      </c>
      <c r="I32" s="308">
        <f>'P26'!S$52</f>
        <v>0</v>
      </c>
      <c r="J32" s="317">
        <f>'P26'!$T$52</f>
        <v>4.3333333333333321</v>
      </c>
      <c r="K32" s="316">
        <f>'P26'!$R$53</f>
        <v>0</v>
      </c>
      <c r="L32" s="309">
        <f>'P26'!$S$53</f>
        <v>0</v>
      </c>
      <c r="M32" s="319">
        <f>'P26'!$T$53</f>
        <v>0</v>
      </c>
      <c r="N32" s="318">
        <f>'P26'!$R$54</f>
        <v>0</v>
      </c>
      <c r="O32" s="310">
        <f>'P26'!$S$54</f>
        <v>0</v>
      </c>
      <c r="P32" s="321">
        <f>'P26'!$T$54</f>
        <v>0</v>
      </c>
      <c r="Q32" s="320">
        <f>'P26'!$R$55</f>
        <v>0</v>
      </c>
      <c r="R32" s="311">
        <f>'P26'!$S$55</f>
        <v>0</v>
      </c>
      <c r="S32" s="323">
        <f>'P26'!$T$55</f>
        <v>0</v>
      </c>
      <c r="T32" s="322">
        <f>'P26'!$S$56</f>
        <v>0</v>
      </c>
      <c r="U32" s="325">
        <f>'P26'!$T$56</f>
        <v>0</v>
      </c>
      <c r="V32" s="324">
        <f>'P26'!$Y$51</f>
        <v>0</v>
      </c>
    </row>
    <row r="33" spans="1:22" ht="13.75" thickBot="1" x14ac:dyDescent="0.3">
      <c r="A33" s="10"/>
      <c r="B33" s="10"/>
      <c r="C33" s="10"/>
      <c r="D33" s="10"/>
      <c r="E33" s="210">
        <f>SUM(E7:E32)</f>
        <v>4.3333333333333321</v>
      </c>
      <c r="F33" s="211">
        <f>SUM(F7:F32)</f>
        <v>0</v>
      </c>
      <c r="G33" s="212"/>
      <c r="H33" s="213">
        <f>SUM(H7:H32)</f>
        <v>4.3333333333333321</v>
      </c>
      <c r="I33" s="214">
        <f>SUM(I7:I32)</f>
        <v>0</v>
      </c>
      <c r="J33" s="215"/>
      <c r="K33" s="216">
        <f>SUM(K7:K32)</f>
        <v>0</v>
      </c>
      <c r="L33" s="217">
        <f>SUM(L7:L32)</f>
        <v>0</v>
      </c>
      <c r="M33" s="218"/>
      <c r="N33" s="219">
        <f>SUM(N7:N32)</f>
        <v>0</v>
      </c>
      <c r="O33" s="220">
        <f>SUM(O7:O32)</f>
        <v>0</v>
      </c>
      <c r="P33" s="221"/>
      <c r="Q33" s="222">
        <f>SUM(Q7:Q32)</f>
        <v>0</v>
      </c>
      <c r="R33" s="223">
        <f>SUM(R7:R32)</f>
        <v>0</v>
      </c>
      <c r="S33" s="224"/>
      <c r="T33" s="225">
        <f>SUM(T7:T32)</f>
        <v>0</v>
      </c>
      <c r="U33" s="226"/>
      <c r="V33" s="227">
        <f>SUM(V7:V32)</f>
        <v>0</v>
      </c>
    </row>
    <row r="34" spans="1:22" ht="13.1" x14ac:dyDescent="0.25">
      <c r="A34" s="10"/>
      <c r="B34" s="10"/>
      <c r="C34" s="10"/>
      <c r="D34" s="10"/>
      <c r="E34" s="32" t="s">
        <v>74</v>
      </c>
      <c r="F34" s="33"/>
      <c r="G34" s="357" t="str">
        <f>IF(G32&gt;A37,G32-A37,"     n/a")</f>
        <v xml:space="preserve">     n/a</v>
      </c>
      <c r="H34" s="34"/>
      <c r="I34" s="35"/>
      <c r="J34" s="36"/>
      <c r="K34" s="36"/>
      <c r="L34" s="10"/>
      <c r="M34" s="10"/>
    </row>
    <row r="35" spans="1:22" ht="13.75" thickBot="1" x14ac:dyDescent="0.3">
      <c r="A35" s="10"/>
      <c r="B35" s="10"/>
      <c r="C35" s="10"/>
      <c r="D35" s="10"/>
      <c r="E35" s="37"/>
      <c r="F35" s="38" t="s">
        <v>31</v>
      </c>
      <c r="G35" s="358" t="str">
        <f>IF(G32&gt;A37,24*(G32-A37)/8,"     n/a")</f>
        <v xml:space="preserve">     n/a</v>
      </c>
      <c r="H35" s="10"/>
      <c r="I35" s="11"/>
      <c r="J35" s="10"/>
      <c r="K35" s="10"/>
      <c r="L35" s="10"/>
      <c r="M35" s="10"/>
    </row>
    <row r="36" spans="1:22" x14ac:dyDescent="0.2">
      <c r="A36" s="10"/>
      <c r="B36" s="10"/>
      <c r="C36" s="10"/>
      <c r="D36" s="10"/>
      <c r="E36" s="10"/>
      <c r="F36" s="10"/>
      <c r="G36" s="10"/>
      <c r="H36" s="10"/>
      <c r="I36" s="11"/>
      <c r="J36" s="10"/>
      <c r="K36" s="10"/>
      <c r="L36" s="10"/>
      <c r="M36" s="10"/>
    </row>
    <row r="37" spans="1:22" x14ac:dyDescent="0.2">
      <c r="A37" s="372">
        <f>Instructions!A13</f>
        <v>10</v>
      </c>
      <c r="B37" s="373" t="s">
        <v>184</v>
      </c>
      <c r="C37" s="10"/>
      <c r="D37" s="10"/>
      <c r="E37" s="10"/>
      <c r="F37" s="10"/>
      <c r="G37" s="10"/>
      <c r="H37" s="10"/>
      <c r="I37" s="11"/>
      <c r="J37" s="10"/>
      <c r="K37" s="10"/>
      <c r="L37" s="10"/>
      <c r="M37" s="10"/>
    </row>
  </sheetData>
  <mergeCells count="5">
    <mergeCell ref="T4:U4"/>
    <mergeCell ref="B5:D5"/>
    <mergeCell ref="Q4:S4"/>
    <mergeCell ref="H4:J4"/>
    <mergeCell ref="K4:M4"/>
  </mergeCells>
  <phoneticPr fontId="0" type="noConversion"/>
  <conditionalFormatting sqref="B7:B32">
    <cfRule type="expression" dxfId="313" priority="2" stopIfTrue="1">
      <formula>A7="==&gt;"</formula>
    </cfRule>
  </conditionalFormatting>
  <conditionalFormatting sqref="C7:C32">
    <cfRule type="expression" dxfId="312" priority="3" stopIfTrue="1">
      <formula>A7="==&gt;"</formula>
    </cfRule>
  </conditionalFormatting>
  <conditionalFormatting sqref="D7:D32">
    <cfRule type="expression" dxfId="311" priority="4" stopIfTrue="1">
      <formula>A7="==&gt;"</formula>
    </cfRule>
  </conditionalFormatting>
  <conditionalFormatting sqref="E7:V32">
    <cfRule type="expression" dxfId="310" priority="5" stopIfTrue="1">
      <formula>$A7="==&gt;"</formula>
    </cfRule>
  </conditionalFormatting>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11">
    <pageSetUpPr fitToPage="1"/>
  </sheetPr>
  <dimension ref="A1:AH65"/>
  <sheetViews>
    <sheetView zoomScale="90" zoomScaleNormal="90" workbookViewId="0">
      <selection activeCell="H24" sqref="H24"/>
    </sheetView>
  </sheetViews>
  <sheetFormatPr defaultRowHeight="12.45" x14ac:dyDescent="0.2"/>
  <cols>
    <col min="1" max="1" width="1.375" customWidth="1"/>
    <col min="3" max="3" width="10.25" customWidth="1"/>
    <col min="4" max="4" width="4.375" customWidth="1"/>
    <col min="5" max="5" width="4.25" customWidth="1"/>
    <col min="6" max="6" width="0.375" customWidth="1"/>
    <col min="7" max="13" width="6.625" customWidth="1"/>
    <col min="14" max="14" width="8.375" customWidth="1"/>
    <col min="15" max="15" width="1" customWidth="1"/>
    <col min="16" max="22" width="6.625" customWidth="1"/>
    <col min="23" max="23" width="8.625" style="5" customWidth="1"/>
    <col min="24" max="24" width="0.75" style="5" customWidth="1"/>
    <col min="25" max="25" width="9.75" style="5" customWidth="1"/>
    <col min="26" max="26" width="1" customWidth="1"/>
    <col min="27" max="27" width="4.875" customWidth="1"/>
    <col min="28" max="28" width="7.875" customWidth="1"/>
    <col min="29" max="29" width="10.875" customWidth="1"/>
    <col min="31" max="31" width="8" customWidth="1"/>
    <col min="32" max="32" width="7.875" customWidth="1"/>
  </cols>
  <sheetData>
    <row r="1" spans="1:34" ht="13.1" x14ac:dyDescent="0.25">
      <c r="B1" s="42" t="s">
        <v>48</v>
      </c>
      <c r="C1" s="39"/>
      <c r="D1" s="39"/>
      <c r="E1" s="39"/>
      <c r="F1" s="39"/>
      <c r="G1" s="39"/>
      <c r="H1" s="39"/>
      <c r="I1" s="39"/>
      <c r="J1" s="39"/>
      <c r="K1" s="39"/>
      <c r="L1" s="39"/>
      <c r="M1" s="39"/>
      <c r="N1" s="39"/>
      <c r="O1" s="39"/>
      <c r="P1" s="39"/>
      <c r="Q1" s="39"/>
      <c r="R1" s="39"/>
      <c r="S1" s="39"/>
      <c r="T1" s="39"/>
      <c r="U1" s="39"/>
      <c r="V1" s="39"/>
      <c r="W1" s="41"/>
      <c r="X1" s="41"/>
      <c r="Y1" s="41"/>
      <c r="Z1" s="39"/>
      <c r="AA1" s="39"/>
      <c r="AB1" s="39"/>
      <c r="AC1" s="39"/>
      <c r="AD1" s="39"/>
      <c r="AE1" s="39"/>
      <c r="AF1" s="39"/>
      <c r="AG1" s="39"/>
      <c r="AH1" s="39"/>
    </row>
    <row r="2" spans="1:34" x14ac:dyDescent="0.2">
      <c r="B2" s="39"/>
      <c r="C2" s="39"/>
      <c r="D2" s="39"/>
      <c r="E2" s="39"/>
      <c r="F2" s="39"/>
      <c r="G2" s="43" t="str">
        <f t="shared" ref="G2:M3" si="0">G22</f>
        <v>Sun</v>
      </c>
      <c r="H2" s="43" t="str">
        <f t="shared" si="0"/>
        <v>Mon</v>
      </c>
      <c r="I2" s="43" t="str">
        <f t="shared" si="0"/>
        <v>Tue</v>
      </c>
      <c r="J2" s="43" t="str">
        <f t="shared" si="0"/>
        <v>Wed</v>
      </c>
      <c r="K2" s="43" t="str">
        <f t="shared" si="0"/>
        <v>Thu</v>
      </c>
      <c r="L2" s="43" t="str">
        <f t="shared" si="0"/>
        <v>Fri</v>
      </c>
      <c r="M2" s="43" t="str">
        <f t="shared" si="0"/>
        <v>Sat</v>
      </c>
      <c r="N2" s="43"/>
      <c r="O2" s="43"/>
      <c r="P2" s="43" t="str">
        <f t="shared" ref="P2:V3" si="1">P22</f>
        <v>Sun</v>
      </c>
      <c r="Q2" s="43" t="str">
        <f t="shared" si="1"/>
        <v>Mon</v>
      </c>
      <c r="R2" s="43" t="str">
        <f t="shared" si="1"/>
        <v>Tue</v>
      </c>
      <c r="S2" s="43" t="str">
        <f t="shared" si="1"/>
        <v>Wed</v>
      </c>
      <c r="T2" s="43" t="str">
        <f t="shared" si="1"/>
        <v>Thu</v>
      </c>
      <c r="U2" s="43" t="str">
        <f t="shared" si="1"/>
        <v>Fri</v>
      </c>
      <c r="V2" s="43" t="str">
        <f t="shared" si="1"/>
        <v>Sat</v>
      </c>
      <c r="W2" s="41"/>
      <c r="X2" s="41"/>
      <c r="Y2" s="41"/>
      <c r="Z2" s="39"/>
      <c r="AA2" s="39"/>
      <c r="AB2" s="39"/>
      <c r="AC2" s="39"/>
      <c r="AD2" s="39"/>
      <c r="AE2" s="39"/>
      <c r="AF2" s="39"/>
      <c r="AG2" s="39"/>
      <c r="AH2" s="39"/>
    </row>
    <row r="3" spans="1:34" x14ac:dyDescent="0.2">
      <c r="B3" s="39"/>
      <c r="C3" s="39"/>
      <c r="D3" s="39"/>
      <c r="E3" s="39"/>
      <c r="F3" s="39"/>
      <c r="G3" s="44">
        <f t="shared" si="0"/>
        <v>42737</v>
      </c>
      <c r="H3" s="44">
        <f t="shared" si="0"/>
        <v>42738</v>
      </c>
      <c r="I3" s="44">
        <f t="shared" si="0"/>
        <v>42739</v>
      </c>
      <c r="J3" s="44">
        <f t="shared" si="0"/>
        <v>42740</v>
      </c>
      <c r="K3" s="44">
        <f t="shared" si="0"/>
        <v>42741</v>
      </c>
      <c r="L3" s="44">
        <f t="shared" si="0"/>
        <v>42742</v>
      </c>
      <c r="M3" s="44">
        <f t="shared" si="0"/>
        <v>42743</v>
      </c>
      <c r="N3" s="44"/>
      <c r="O3" s="44"/>
      <c r="P3" s="44">
        <f t="shared" si="1"/>
        <v>42744</v>
      </c>
      <c r="Q3" s="44">
        <f t="shared" si="1"/>
        <v>42745</v>
      </c>
      <c r="R3" s="44">
        <f t="shared" si="1"/>
        <v>42746</v>
      </c>
      <c r="S3" s="44">
        <f t="shared" si="1"/>
        <v>42747</v>
      </c>
      <c r="T3" s="44">
        <f t="shared" si="1"/>
        <v>42748</v>
      </c>
      <c r="U3" s="44">
        <f t="shared" si="1"/>
        <v>42749</v>
      </c>
      <c r="V3" s="44">
        <f t="shared" si="1"/>
        <v>42750</v>
      </c>
      <c r="W3" s="41"/>
      <c r="X3" s="41"/>
      <c r="Y3" s="41"/>
      <c r="Z3" s="39"/>
      <c r="AA3" s="39"/>
      <c r="AB3" s="39"/>
      <c r="AC3" s="39"/>
      <c r="AD3" s="39"/>
      <c r="AE3" s="39"/>
      <c r="AF3" s="39"/>
      <c r="AG3" s="39"/>
      <c r="AH3" s="39"/>
    </row>
    <row r="4" spans="1:34" x14ac:dyDescent="0.2">
      <c r="B4" s="39"/>
      <c r="C4" s="241"/>
      <c r="D4" s="241"/>
      <c r="E4" s="241" t="s">
        <v>21</v>
      </c>
      <c r="F4" s="39"/>
      <c r="G4" s="45"/>
      <c r="H4" s="336"/>
      <c r="I4" s="336"/>
      <c r="J4" s="336"/>
      <c r="K4" s="336"/>
      <c r="L4" s="336"/>
      <c r="M4" s="45"/>
      <c r="N4" s="45"/>
      <c r="O4" s="45"/>
      <c r="P4" s="45"/>
      <c r="Q4" s="336"/>
      <c r="R4" s="336"/>
      <c r="S4" s="336"/>
      <c r="T4" s="336"/>
      <c r="U4" s="336"/>
      <c r="V4" s="45"/>
      <c r="W4" s="41"/>
      <c r="X4" s="41"/>
      <c r="Y4" s="41"/>
      <c r="Z4" s="39"/>
      <c r="AA4" s="39"/>
      <c r="AB4" s="39"/>
      <c r="AC4" s="39"/>
      <c r="AD4" s="39"/>
      <c r="AE4" s="39"/>
      <c r="AF4" s="39"/>
      <c r="AG4" s="39"/>
      <c r="AH4" s="39"/>
    </row>
    <row r="5" spans="1:34" x14ac:dyDescent="0.2">
      <c r="B5" s="39"/>
      <c r="C5" s="241"/>
      <c r="D5" s="241"/>
      <c r="E5" s="241" t="s">
        <v>22</v>
      </c>
      <c r="F5" s="39"/>
      <c r="G5" s="45"/>
      <c r="H5" s="336"/>
      <c r="I5" s="336"/>
      <c r="J5" s="336"/>
      <c r="K5" s="336"/>
      <c r="L5" s="336"/>
      <c r="M5" s="45"/>
      <c r="N5" s="45"/>
      <c r="O5" s="45"/>
      <c r="P5" s="45"/>
      <c r="Q5" s="336"/>
      <c r="R5" s="336"/>
      <c r="S5" s="336"/>
      <c r="T5" s="336"/>
      <c r="U5" s="336"/>
      <c r="V5" s="45"/>
      <c r="W5" s="41"/>
      <c r="X5" s="41"/>
      <c r="Y5" s="41"/>
      <c r="Z5" s="39"/>
      <c r="AA5" s="39"/>
      <c r="AB5" s="39"/>
      <c r="AC5" s="39"/>
      <c r="AD5" s="39"/>
      <c r="AE5" s="39"/>
      <c r="AF5" s="39"/>
      <c r="AG5" s="39"/>
      <c r="AH5" s="39"/>
    </row>
    <row r="6" spans="1:34" x14ac:dyDescent="0.2">
      <c r="B6" s="39"/>
      <c r="C6" s="241"/>
      <c r="D6" s="241"/>
      <c r="E6" s="241" t="s">
        <v>21</v>
      </c>
      <c r="F6" s="39"/>
      <c r="G6" s="45"/>
      <c r="H6" s="336"/>
      <c r="I6" s="336"/>
      <c r="J6" s="336"/>
      <c r="K6" s="336"/>
      <c r="L6" s="336"/>
      <c r="M6" s="45"/>
      <c r="N6" s="45"/>
      <c r="O6" s="45"/>
      <c r="P6" s="45"/>
      <c r="Q6" s="336"/>
      <c r="R6" s="336"/>
      <c r="S6" s="336"/>
      <c r="T6" s="336"/>
      <c r="U6" s="336"/>
      <c r="V6" s="45"/>
      <c r="W6" s="41"/>
      <c r="X6" s="41"/>
      <c r="Y6" s="41"/>
      <c r="Z6" s="39"/>
      <c r="AA6" s="39"/>
      <c r="AB6" s="39"/>
      <c r="AC6" s="39"/>
      <c r="AD6" s="39"/>
      <c r="AE6" s="39"/>
      <c r="AF6" s="39"/>
      <c r="AG6" s="39"/>
      <c r="AH6" s="39"/>
    </row>
    <row r="7" spans="1:34" x14ac:dyDescent="0.2">
      <c r="B7" s="39"/>
      <c r="C7" s="241"/>
      <c r="D7" s="241"/>
      <c r="E7" s="241" t="s">
        <v>22</v>
      </c>
      <c r="F7" s="39"/>
      <c r="G7" s="45"/>
      <c r="H7" s="336"/>
      <c r="I7" s="336"/>
      <c r="J7" s="336"/>
      <c r="K7" s="336"/>
      <c r="L7" s="336"/>
      <c r="M7" s="45"/>
      <c r="N7" s="45"/>
      <c r="O7" s="45"/>
      <c r="P7" s="45"/>
      <c r="Q7" s="336"/>
      <c r="R7" s="336"/>
      <c r="S7" s="336"/>
      <c r="T7" s="336"/>
      <c r="U7" s="336"/>
      <c r="V7" s="45"/>
      <c r="W7" s="41"/>
      <c r="X7" s="41"/>
      <c r="Y7" s="41"/>
      <c r="Z7" s="39"/>
      <c r="AA7" s="39"/>
      <c r="AB7" s="39"/>
      <c r="AC7" s="39"/>
      <c r="AD7" s="39"/>
      <c r="AE7" s="39"/>
      <c r="AF7" s="39"/>
      <c r="AG7" s="39"/>
      <c r="AH7" s="39"/>
    </row>
    <row r="8" spans="1:34" x14ac:dyDescent="0.2">
      <c r="B8" s="39"/>
      <c r="C8" s="241"/>
      <c r="D8" s="241"/>
      <c r="E8" s="241" t="s">
        <v>21</v>
      </c>
      <c r="F8" s="39"/>
      <c r="G8" s="45"/>
      <c r="H8" s="336"/>
      <c r="I8" s="336"/>
      <c r="J8" s="336"/>
      <c r="K8" s="336"/>
      <c r="L8" s="336"/>
      <c r="M8" s="45"/>
      <c r="N8" s="45"/>
      <c r="O8" s="45"/>
      <c r="P8" s="45"/>
      <c r="Q8" s="336"/>
      <c r="R8" s="336"/>
      <c r="S8" s="336"/>
      <c r="T8" s="336"/>
      <c r="U8" s="336"/>
      <c r="V8" s="45"/>
      <c r="W8" s="41"/>
      <c r="X8" s="41"/>
      <c r="Y8" s="41"/>
      <c r="Z8" s="39"/>
      <c r="AA8" s="39"/>
      <c r="AB8" s="39"/>
      <c r="AC8" s="39"/>
      <c r="AD8" s="39"/>
      <c r="AE8" s="39"/>
      <c r="AF8" s="39"/>
      <c r="AG8" s="39"/>
      <c r="AH8" s="39"/>
    </row>
    <row r="9" spans="1:34" x14ac:dyDescent="0.2">
      <c r="B9" s="39"/>
      <c r="C9" s="241"/>
      <c r="D9" s="241"/>
      <c r="E9" s="241" t="s">
        <v>22</v>
      </c>
      <c r="F9" s="39"/>
      <c r="G9" s="45"/>
      <c r="H9" s="336"/>
      <c r="I9" s="336"/>
      <c r="J9" s="336"/>
      <c r="K9" s="336"/>
      <c r="L9" s="336"/>
      <c r="M9" s="45"/>
      <c r="N9" s="45"/>
      <c r="O9" s="45"/>
      <c r="P9" s="45"/>
      <c r="Q9" s="336"/>
      <c r="R9" s="336"/>
      <c r="S9" s="336"/>
      <c r="T9" s="336"/>
      <c r="U9" s="336"/>
      <c r="V9" s="45"/>
      <c r="W9" s="41"/>
      <c r="X9" s="41"/>
      <c r="Y9" s="41"/>
      <c r="Z9" s="39"/>
      <c r="AA9" s="39"/>
      <c r="AB9" s="39"/>
      <c r="AC9" s="39"/>
      <c r="AD9" s="39"/>
      <c r="AE9" s="39"/>
      <c r="AF9" s="39"/>
      <c r="AG9" s="39"/>
      <c r="AH9" s="39"/>
    </row>
    <row r="10" spans="1:34" x14ac:dyDescent="0.2">
      <c r="B10" s="39"/>
      <c r="C10" s="241"/>
      <c r="D10" s="241"/>
      <c r="E10" s="241" t="s">
        <v>21</v>
      </c>
      <c r="F10" s="39"/>
      <c r="G10" s="45"/>
      <c r="H10" s="336"/>
      <c r="I10" s="336"/>
      <c r="J10" s="336"/>
      <c r="K10" s="336"/>
      <c r="L10" s="336"/>
      <c r="M10" s="45"/>
      <c r="N10" s="45"/>
      <c r="O10" s="45"/>
      <c r="P10" s="45"/>
      <c r="Q10" s="336"/>
      <c r="R10" s="336"/>
      <c r="S10" s="336"/>
      <c r="T10" s="336"/>
      <c r="U10" s="336"/>
      <c r="V10" s="45"/>
      <c r="W10" s="41"/>
      <c r="X10" s="41"/>
      <c r="Y10" s="41"/>
      <c r="Z10" s="39"/>
      <c r="AA10" s="39"/>
      <c r="AB10" s="39"/>
      <c r="AC10" s="39"/>
      <c r="AD10" s="39"/>
      <c r="AE10" s="39"/>
      <c r="AF10" s="39"/>
      <c r="AG10" s="39"/>
      <c r="AH10" s="39"/>
    </row>
    <row r="11" spans="1:34" x14ac:dyDescent="0.2">
      <c r="B11" s="39"/>
      <c r="C11" s="241"/>
      <c r="D11" s="241"/>
      <c r="E11" s="241" t="s">
        <v>22</v>
      </c>
      <c r="F11" s="39"/>
      <c r="G11" s="192"/>
      <c r="H11" s="337"/>
      <c r="I11" s="337"/>
      <c r="J11" s="337"/>
      <c r="K11" s="337"/>
      <c r="L11" s="337"/>
      <c r="M11" s="192"/>
      <c r="N11" s="192"/>
      <c r="O11" s="192"/>
      <c r="P11" s="192"/>
      <c r="Q11" s="337"/>
      <c r="R11" s="337"/>
      <c r="S11" s="337"/>
      <c r="T11" s="337"/>
      <c r="U11" s="337"/>
      <c r="V11" s="192"/>
      <c r="W11" s="41"/>
      <c r="X11" s="41"/>
      <c r="Y11" s="41"/>
      <c r="Z11" s="39"/>
      <c r="AA11" s="39"/>
      <c r="AB11" s="39"/>
      <c r="AC11" s="39"/>
      <c r="AD11" s="39"/>
      <c r="AE11" s="39"/>
      <c r="AF11" s="39"/>
      <c r="AG11" s="39"/>
      <c r="AH11" s="39"/>
    </row>
    <row r="12" spans="1:34" ht="13.1" x14ac:dyDescent="0.25">
      <c r="B12" s="39"/>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39"/>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41"/>
      <c r="Y12" s="41"/>
      <c r="Z12" s="39"/>
      <c r="AA12" s="39"/>
      <c r="AB12" s="39"/>
      <c r="AC12" s="39"/>
      <c r="AD12" s="39"/>
      <c r="AE12" s="39"/>
      <c r="AF12" s="39"/>
      <c r="AG12" s="39"/>
      <c r="AH12" s="39"/>
    </row>
    <row r="13" spans="1:34" s="89" customFormat="1"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row>
    <row r="14" spans="1:34"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39"/>
      <c r="AB14" s="39"/>
      <c r="AC14" s="39"/>
      <c r="AD14" s="39"/>
      <c r="AE14" s="115"/>
      <c r="AF14" s="115"/>
      <c r="AG14" s="39"/>
      <c r="AH14" s="39"/>
    </row>
    <row r="15" spans="1:34" ht="13.1" x14ac:dyDescent="0.25">
      <c r="A15" s="93"/>
      <c r="B15" s="99" t="s">
        <v>105</v>
      </c>
      <c r="C15" s="90"/>
      <c r="D15" s="90"/>
      <c r="E15" s="90"/>
      <c r="F15" s="90"/>
      <c r="G15" s="90"/>
      <c r="H15" s="90"/>
      <c r="I15" s="90"/>
      <c r="J15" s="90"/>
      <c r="K15" s="91"/>
      <c r="L15" s="99" t="s">
        <v>104</v>
      </c>
      <c r="M15" s="90"/>
      <c r="N15" s="91"/>
      <c r="O15" s="91"/>
      <c r="P15" s="500" t="s">
        <v>103</v>
      </c>
      <c r="Q15" s="501"/>
      <c r="R15" s="106">
        <v>1</v>
      </c>
      <c r="S15" s="90"/>
      <c r="T15" s="99" t="s">
        <v>180</v>
      </c>
      <c r="U15" s="90"/>
      <c r="V15" s="90"/>
      <c r="W15" s="139"/>
      <c r="X15" s="139"/>
      <c r="Y15" s="60"/>
      <c r="Z15" s="93"/>
      <c r="AA15" s="194"/>
      <c r="AB15" s="39"/>
      <c r="AC15" s="39"/>
      <c r="AD15" s="39"/>
      <c r="AE15" s="115"/>
      <c r="AF15" s="115"/>
      <c r="AG15" s="39"/>
      <c r="AH15" s="39"/>
    </row>
    <row r="16" spans="1:34" ht="13.1" x14ac:dyDescent="0.25">
      <c r="A16" s="93"/>
      <c r="B16" s="105" t="str">
        <f>+Instructions!A4</f>
        <v>Firstname Lastname</v>
      </c>
      <c r="C16" s="96"/>
      <c r="D16" s="96"/>
      <c r="E16" s="96"/>
      <c r="F16" s="96"/>
      <c r="G16" s="93"/>
      <c r="H16" s="96"/>
      <c r="I16" s="96"/>
      <c r="J16" s="96"/>
      <c r="K16" s="97"/>
      <c r="L16" s="114">
        <v>2021</v>
      </c>
      <c r="M16" s="96"/>
      <c r="N16" s="97"/>
      <c r="O16" s="93"/>
      <c r="P16" s="143" t="s">
        <v>16</v>
      </c>
      <c r="Q16" s="113">
        <v>42737</v>
      </c>
      <c r="R16" s="144" t="s">
        <v>17</v>
      </c>
      <c r="S16" s="113">
        <f>Q16+13</f>
        <v>42750</v>
      </c>
      <c r="T16" s="485" t="s">
        <v>181</v>
      </c>
      <c r="U16" s="486"/>
      <c r="V16" s="371" t="s">
        <v>182</v>
      </c>
      <c r="W16" s="78"/>
      <c r="X16" s="78"/>
      <c r="Y16" s="77"/>
      <c r="Z16" s="93"/>
      <c r="AA16" s="194"/>
      <c r="AB16" s="40"/>
      <c r="AC16" s="39"/>
      <c r="AD16" s="39"/>
      <c r="AE16" s="115"/>
      <c r="AF16" s="115"/>
      <c r="AG16" s="39"/>
      <c r="AH16" s="39"/>
    </row>
    <row r="17" spans="1:34"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39"/>
      <c r="AB17" s="229"/>
      <c r="AC17" s="40"/>
      <c r="AD17" s="39"/>
      <c r="AE17" s="115"/>
      <c r="AF17" s="115"/>
      <c r="AG17" s="39"/>
      <c r="AH17" s="39"/>
    </row>
    <row r="18" spans="1:34" ht="13.1" x14ac:dyDescent="0.25">
      <c r="A18" s="93"/>
      <c r="B18" s="92"/>
      <c r="C18" s="93"/>
      <c r="D18" s="92"/>
      <c r="E18" s="102" t="s">
        <v>15</v>
      </c>
      <c r="F18" s="93"/>
      <c r="G18" s="123"/>
      <c r="H18" s="126">
        <v>0.33333333333333331</v>
      </c>
      <c r="I18" s="126">
        <v>0.33333333333333331</v>
      </c>
      <c r="J18" s="126">
        <v>0.33333333333333331</v>
      </c>
      <c r="K18" s="126">
        <v>0.33333333333333331</v>
      </c>
      <c r="L18" s="126">
        <v>0.33333333333333331</v>
      </c>
      <c r="M18" s="126"/>
      <c r="N18" s="231">
        <f>SUM(G18:M18)</f>
        <v>1.6666666666666665</v>
      </c>
      <c r="O18" s="79"/>
      <c r="P18" s="123"/>
      <c r="Q18" s="126">
        <v>0.33333333333333331</v>
      </c>
      <c r="R18" s="126">
        <v>0.33333333333333331</v>
      </c>
      <c r="S18" s="126">
        <v>0.33333333333333331</v>
      </c>
      <c r="T18" s="126">
        <v>0.33333333333333331</v>
      </c>
      <c r="U18" s="126">
        <v>0.33333333333333331</v>
      </c>
      <c r="V18" s="126"/>
      <c r="W18" s="231">
        <f>SUM(P18:V18)</f>
        <v>1.6666666666666665</v>
      </c>
      <c r="X18" s="191"/>
      <c r="Y18" s="231">
        <f>N18+W18</f>
        <v>3.333333333333333</v>
      </c>
      <c r="Z18" s="92"/>
      <c r="AA18" s="39"/>
      <c r="AB18" s="229"/>
      <c r="AC18" s="40"/>
      <c r="AD18" s="39"/>
      <c r="AE18" s="115"/>
      <c r="AF18" s="115"/>
      <c r="AG18" s="39"/>
      <c r="AH18" s="39"/>
    </row>
    <row r="19" spans="1:34" ht="13.1" x14ac:dyDescent="0.25">
      <c r="A19" s="93"/>
      <c r="B19" s="92"/>
      <c r="C19" s="93"/>
      <c r="D19" s="93"/>
      <c r="E19" s="102" t="s">
        <v>50</v>
      </c>
      <c r="F19" s="93"/>
      <c r="G19" s="123"/>
      <c r="H19" s="126">
        <v>0.3125</v>
      </c>
      <c r="I19" s="126">
        <v>0.3125</v>
      </c>
      <c r="J19" s="126">
        <v>0.3125</v>
      </c>
      <c r="K19" s="126">
        <v>0.3125</v>
      </c>
      <c r="L19" s="126">
        <v>0.3125</v>
      </c>
      <c r="M19" s="126"/>
      <c r="N19" s="87"/>
      <c r="O19" s="83"/>
      <c r="P19" s="126"/>
      <c r="Q19" s="126">
        <v>0.3125</v>
      </c>
      <c r="R19" s="126">
        <v>0.3125</v>
      </c>
      <c r="S19" s="126">
        <v>0.3125</v>
      </c>
      <c r="T19" s="126">
        <v>0.3125</v>
      </c>
      <c r="U19" s="126">
        <v>0.3125</v>
      </c>
      <c r="V19" s="123"/>
      <c r="W19" s="369"/>
      <c r="X19" s="368"/>
      <c r="Y19" s="111"/>
      <c r="Z19" s="92"/>
      <c r="AA19" s="39"/>
      <c r="AB19" s="40"/>
      <c r="AC19" s="116"/>
      <c r="AD19" s="115"/>
      <c r="AE19" s="115"/>
      <c r="AF19" s="115"/>
      <c r="AG19" s="39"/>
      <c r="AH19" s="39"/>
    </row>
    <row r="20" spans="1:34" x14ac:dyDescent="0.2">
      <c r="A20" s="93"/>
      <c r="B20" s="95"/>
      <c r="C20" s="96"/>
      <c r="D20" s="96"/>
      <c r="E20" s="124" t="s">
        <v>51</v>
      </c>
      <c r="F20" s="96"/>
      <c r="G20" s="123"/>
      <c r="H20" s="126">
        <v>0.1875</v>
      </c>
      <c r="I20" s="126">
        <v>0.1875</v>
      </c>
      <c r="J20" s="126">
        <v>0.1875</v>
      </c>
      <c r="K20" s="126">
        <v>0.1875</v>
      </c>
      <c r="L20" s="126">
        <v>0.1875</v>
      </c>
      <c r="M20" s="126"/>
      <c r="N20" s="112"/>
      <c r="O20" s="245"/>
      <c r="P20" s="126"/>
      <c r="Q20" s="126">
        <v>0.1875</v>
      </c>
      <c r="R20" s="126">
        <v>0.1875</v>
      </c>
      <c r="S20" s="126">
        <v>0.1875</v>
      </c>
      <c r="T20" s="126">
        <v>0.1875</v>
      </c>
      <c r="U20" s="126">
        <v>0.1875</v>
      </c>
      <c r="V20" s="123"/>
      <c r="W20" s="370"/>
      <c r="X20" s="125"/>
      <c r="Y20" s="88"/>
      <c r="Z20" s="92"/>
      <c r="AA20" s="39"/>
      <c r="AB20" s="39"/>
      <c r="AC20" s="116"/>
      <c r="AD20" s="115"/>
      <c r="AE20" s="115"/>
      <c r="AF20" s="115"/>
      <c r="AG20" s="39"/>
      <c r="AH20" s="39"/>
    </row>
    <row r="21" spans="1:34"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39"/>
      <c r="AB21" s="39"/>
      <c r="AC21" s="116"/>
      <c r="AD21" s="115"/>
      <c r="AE21" s="115"/>
      <c r="AF21" s="115"/>
      <c r="AG21" s="39"/>
      <c r="AH21" s="39"/>
    </row>
    <row r="22" spans="1:34"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39"/>
      <c r="AB22" s="46"/>
      <c r="AC22" s="128" t="s">
        <v>135</v>
      </c>
      <c r="AD22" s="39"/>
      <c r="AE22" s="115"/>
      <c r="AF22" s="115"/>
      <c r="AG22" s="39"/>
      <c r="AH22" s="39"/>
    </row>
    <row r="23" spans="1:34" ht="15.75" customHeight="1" thickBot="1" x14ac:dyDescent="0.3">
      <c r="A23" s="93"/>
      <c r="B23" s="496" t="s">
        <v>106</v>
      </c>
      <c r="C23" s="497"/>
      <c r="D23" s="174"/>
      <c r="E23" s="174"/>
      <c r="F23" s="101"/>
      <c r="G23" s="175">
        <f>+Q16</f>
        <v>42737</v>
      </c>
      <c r="H23" s="175">
        <f t="shared" ref="H23:M23" si="4">G23+1</f>
        <v>42738</v>
      </c>
      <c r="I23" s="175">
        <f t="shared" si="4"/>
        <v>42739</v>
      </c>
      <c r="J23" s="175">
        <f t="shared" si="4"/>
        <v>42740</v>
      </c>
      <c r="K23" s="175">
        <f t="shared" si="4"/>
        <v>42741</v>
      </c>
      <c r="L23" s="175">
        <f t="shared" si="4"/>
        <v>42742</v>
      </c>
      <c r="M23" s="175">
        <f t="shared" si="4"/>
        <v>42743</v>
      </c>
      <c r="N23" s="176"/>
      <c r="O23" s="84"/>
      <c r="P23" s="175">
        <f>M23+1</f>
        <v>42744</v>
      </c>
      <c r="Q23" s="175">
        <f t="shared" ref="Q23:V23" si="5">P23+1</f>
        <v>42745</v>
      </c>
      <c r="R23" s="175">
        <f t="shared" si="5"/>
        <v>42746</v>
      </c>
      <c r="S23" s="175">
        <f t="shared" si="5"/>
        <v>42747</v>
      </c>
      <c r="T23" s="175">
        <f t="shared" si="5"/>
        <v>42748</v>
      </c>
      <c r="U23" s="175">
        <f t="shared" si="5"/>
        <v>42749</v>
      </c>
      <c r="V23" s="175">
        <f t="shared" si="5"/>
        <v>42750</v>
      </c>
      <c r="W23" s="176"/>
      <c r="X23" s="176"/>
      <c r="Y23" s="347"/>
      <c r="Z23" s="92"/>
      <c r="AA23" s="39"/>
      <c r="AB23" s="47"/>
      <c r="AC23" s="484" t="s">
        <v>62</v>
      </c>
      <c r="AD23" s="484"/>
      <c r="AE23" s="115"/>
      <c r="AF23" s="115"/>
      <c r="AG23" s="39"/>
      <c r="AH23" s="39"/>
    </row>
    <row r="24" spans="1:34" ht="13.6" customHeight="1" x14ac:dyDescent="0.25">
      <c r="A24" s="93"/>
      <c r="B24" s="252" t="s">
        <v>91</v>
      </c>
      <c r="C24" s="163"/>
      <c r="D24" s="274"/>
      <c r="E24" s="164"/>
      <c r="F24" s="165"/>
      <c r="G24" s="202">
        <f t="shared" ref="G24:M24" si="6">G12-G25-G26-G27-G28</f>
        <v>0</v>
      </c>
      <c r="H24" s="327">
        <f t="shared" si="6"/>
        <v>0</v>
      </c>
      <c r="I24" s="327">
        <f t="shared" si="6"/>
        <v>0</v>
      </c>
      <c r="J24" s="327">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39"/>
      <c r="AB24" s="39"/>
      <c r="AC24" s="61" t="s">
        <v>58</v>
      </c>
      <c r="AD24" s="61" t="s">
        <v>59</v>
      </c>
      <c r="AE24" s="39"/>
      <c r="AF24" s="39"/>
      <c r="AG24" s="39"/>
      <c r="AH24" s="39"/>
    </row>
    <row r="25" spans="1:34" s="89" customFormat="1"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Instructions!A15</f>
        <v>0</v>
      </c>
      <c r="AD25" s="229">
        <f>MOD(ROUND(96*(AC25+Y48-Y42),0)/96,Instructions!C14)</f>
        <v>0</v>
      </c>
      <c r="AE25" s="115" t="s">
        <v>187</v>
      </c>
      <c r="AF25" s="39"/>
      <c r="AG25" s="115"/>
      <c r="AH25" s="115"/>
    </row>
    <row r="26" spans="1:34"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39"/>
      <c r="AB26" s="39"/>
      <c r="AC26" s="229">
        <f>Instructions!A16</f>
        <v>0</v>
      </c>
      <c r="AD26" s="229">
        <f>MOD(ROUND(96*(AC26+Y48-Y42),0)/96,20/24)</f>
        <v>0</v>
      </c>
      <c r="AE26" s="115" t="s">
        <v>186</v>
      </c>
      <c r="AF26" s="39"/>
      <c r="AG26" s="39"/>
      <c r="AH26" s="39"/>
    </row>
    <row r="27" spans="1:34"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39"/>
      <c r="AB27" s="39"/>
      <c r="AC27" s="39"/>
      <c r="AD27" s="39"/>
      <c r="AE27" s="39"/>
      <c r="AF27" s="39"/>
      <c r="AG27" s="39"/>
      <c r="AH27" s="39"/>
    </row>
    <row r="28" spans="1:34"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39"/>
      <c r="AB28" s="141"/>
      <c r="AC28" s="141"/>
      <c r="AD28" s="142"/>
      <c r="AE28" s="142"/>
      <c r="AF28" s="142"/>
      <c r="AG28" s="142"/>
      <c r="AH28" s="39"/>
    </row>
    <row r="29" spans="1:34" s="89" customFormat="1" ht="4.5999999999999996"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row>
    <row r="30" spans="1:34" s="89" customFormat="1"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 t="shared" ref="P30:W30" si="11">SUM(P24:P29)</f>
        <v>0</v>
      </c>
      <c r="Q30" s="265">
        <f t="shared" si="11"/>
        <v>0</v>
      </c>
      <c r="R30" s="265">
        <f t="shared" si="11"/>
        <v>0</v>
      </c>
      <c r="S30" s="265">
        <f t="shared" si="11"/>
        <v>0</v>
      </c>
      <c r="T30" s="265">
        <f t="shared" si="11"/>
        <v>0</v>
      </c>
      <c r="U30" s="265">
        <f t="shared" si="11"/>
        <v>0</v>
      </c>
      <c r="V30" s="265">
        <f t="shared" si="11"/>
        <v>0</v>
      </c>
      <c r="W30" s="238">
        <f t="shared" si="11"/>
        <v>0</v>
      </c>
      <c r="X30" s="238"/>
      <c r="Y30" s="334">
        <f>SUM(Y24:Y29)</f>
        <v>0</v>
      </c>
      <c r="Z30" s="92"/>
      <c r="AA30" s="115"/>
      <c r="AB30" s="141"/>
      <c r="AC30" s="141"/>
      <c r="AD30" s="142"/>
      <c r="AE30" s="142"/>
      <c r="AF30" s="142"/>
      <c r="AG30" s="142"/>
      <c r="AH30" s="115"/>
    </row>
    <row r="31" spans="1:34" s="89" customFormat="1"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row>
    <row r="32" spans="1:34"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39"/>
    </row>
    <row r="33" spans="1:34"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0.16666666666666666</v>
      </c>
      <c r="AC33" s="115"/>
      <c r="AD33" s="115"/>
      <c r="AE33" s="115"/>
      <c r="AF33" s="115"/>
      <c r="AG33" s="115"/>
      <c r="AH33" s="115"/>
    </row>
    <row r="34" spans="1:34"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0.16666666666666666</v>
      </c>
      <c r="AC34" s="258"/>
      <c r="AD34" s="115"/>
      <c r="AE34" s="39"/>
      <c r="AF34" s="39"/>
      <c r="AG34" s="39"/>
      <c r="AH34" s="115"/>
    </row>
    <row r="35" spans="1:34"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115"/>
      <c r="AD35" s="115"/>
      <c r="AE35" s="115"/>
      <c r="AF35" s="115"/>
      <c r="AG35" s="115"/>
      <c r="AH35" s="115"/>
    </row>
    <row r="36" spans="1:34"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58" t="s">
        <v>138</v>
      </c>
      <c r="AD36" s="115"/>
      <c r="AE36" s="115"/>
      <c r="AF36" s="115"/>
      <c r="AG36" s="115"/>
      <c r="AH36" s="39"/>
    </row>
    <row r="37" spans="1:34"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c r="AD37" s="122"/>
      <c r="AE37" s="39"/>
      <c r="AF37" s="39"/>
      <c r="AG37" s="115"/>
      <c r="AH37" s="39"/>
    </row>
    <row r="38" spans="1:34"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229">
        <f>MOD(ROUND(96*Y42,0)/96,80/24)</f>
        <v>0</v>
      </c>
      <c r="AD38" s="39" t="s">
        <v>79</v>
      </c>
      <c r="AE38" s="39"/>
      <c r="AF38" s="39"/>
      <c r="AG38" s="115"/>
      <c r="AH38" s="39"/>
    </row>
    <row r="39" spans="1:34"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39"/>
      <c r="AB39" s="40"/>
      <c r="AC39" s="39">
        <f>IF(Instructions!A14=0,IF((AC38&lt;Y42),0,1),1)</f>
        <v>1</v>
      </c>
      <c r="AD39" s="39" t="s">
        <v>80</v>
      </c>
      <c r="AE39" s="39"/>
      <c r="AF39" s="115"/>
      <c r="AG39" s="115"/>
      <c r="AH39" s="39"/>
    </row>
    <row r="40" spans="1:34"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39"/>
      <c r="AB40" s="39"/>
      <c r="AC40" s="39"/>
      <c r="AD40" s="39"/>
      <c r="AE40" s="39"/>
      <c r="AF40" s="39"/>
      <c r="AG40" s="39"/>
      <c r="AH40" s="39"/>
    </row>
    <row r="41" spans="1:34"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39"/>
      <c r="AB41" s="39"/>
      <c r="AC41" s="39"/>
      <c r="AD41" s="39"/>
      <c r="AE41" s="39"/>
      <c r="AF41" s="39"/>
      <c r="AG41" s="39"/>
      <c r="AH41" s="39"/>
    </row>
    <row r="42" spans="1:34" ht="13.6" customHeight="1" x14ac:dyDescent="0.25">
      <c r="A42" s="93"/>
      <c r="B42" s="146" t="s">
        <v>94</v>
      </c>
      <c r="C42" s="147"/>
      <c r="D42" s="276"/>
      <c r="E42" s="148"/>
      <c r="F42" s="280"/>
      <c r="G42" s="350"/>
      <c r="H42" s="351"/>
      <c r="I42" s="351"/>
      <c r="J42" s="351"/>
      <c r="K42" s="351"/>
      <c r="L42" s="351"/>
      <c r="M42" s="350"/>
      <c r="N42" s="234">
        <f t="shared" si="7"/>
        <v>0</v>
      </c>
      <c r="O42" s="269"/>
      <c r="P42" s="350"/>
      <c r="Q42" s="350"/>
      <c r="R42" s="350"/>
      <c r="S42" s="350"/>
      <c r="T42" s="350"/>
      <c r="U42" s="350"/>
      <c r="V42" s="350"/>
      <c r="W42" s="234">
        <f t="shared" si="12"/>
        <v>0</v>
      </c>
      <c r="X42" s="129"/>
      <c r="Y42" s="240">
        <f t="shared" si="9"/>
        <v>0</v>
      </c>
      <c r="Z42" s="92"/>
      <c r="AA42" s="39"/>
      <c r="AB42" s="39"/>
      <c r="AC42" s="39"/>
      <c r="AD42" s="39"/>
      <c r="AE42" s="39"/>
      <c r="AF42" s="39"/>
      <c r="AG42" s="39"/>
      <c r="AH42" s="39"/>
    </row>
    <row r="43" spans="1:34" s="89" customFormat="1" ht="3.8" customHeight="1" x14ac:dyDescent="0.25">
      <c r="A43" s="93"/>
      <c r="B43" s="158"/>
      <c r="C43" s="159"/>
      <c r="D43" s="277"/>
      <c r="E43" s="161"/>
      <c r="F43" s="149"/>
      <c r="G43" s="350"/>
      <c r="H43" s="350"/>
      <c r="I43" s="350"/>
      <c r="J43" s="350"/>
      <c r="K43" s="350"/>
      <c r="L43" s="350"/>
      <c r="M43" s="350"/>
      <c r="N43" s="236"/>
      <c r="O43" s="151"/>
      <c r="P43" s="350"/>
      <c r="Q43" s="350"/>
      <c r="R43" s="350"/>
      <c r="S43" s="350"/>
      <c r="T43" s="350"/>
      <c r="U43" s="350"/>
      <c r="V43" s="350"/>
      <c r="W43" s="236"/>
      <c r="X43" s="162"/>
      <c r="Y43" s="281"/>
      <c r="Z43" s="92"/>
      <c r="AA43" s="115"/>
      <c r="AB43" s="115"/>
      <c r="AC43" s="115"/>
      <c r="AD43" s="115"/>
      <c r="AE43" s="115"/>
      <c r="AF43" s="115"/>
      <c r="AG43" s="115"/>
      <c r="AH43" s="115"/>
    </row>
    <row r="44" spans="1:34" ht="13.6" customHeight="1" thickBot="1" x14ac:dyDescent="0.3">
      <c r="A44" s="93"/>
      <c r="B44" s="282" t="s">
        <v>113</v>
      </c>
      <c r="C44" s="283"/>
      <c r="D44" s="284"/>
      <c r="E44" s="285"/>
      <c r="F44" s="171"/>
      <c r="G44" s="352">
        <f>SUM(G32:G42)</f>
        <v>0</v>
      </c>
      <c r="H44" s="352">
        <f t="shared" ref="H44:M44" si="13">SUM(H32:H42)</f>
        <v>0</v>
      </c>
      <c r="I44" s="352">
        <f t="shared" si="13"/>
        <v>0</v>
      </c>
      <c r="J44" s="352">
        <f t="shared" si="13"/>
        <v>0</v>
      </c>
      <c r="K44" s="352">
        <f t="shared" si="13"/>
        <v>0</v>
      </c>
      <c r="L44" s="352">
        <f t="shared" si="13"/>
        <v>0</v>
      </c>
      <c r="M44" s="352">
        <f t="shared" si="13"/>
        <v>0</v>
      </c>
      <c r="N44" s="286">
        <f t="shared" si="7"/>
        <v>0</v>
      </c>
      <c r="O44" s="172"/>
      <c r="P44" s="352">
        <f>SUM(P32:P42)</f>
        <v>0</v>
      </c>
      <c r="Q44" s="352">
        <f t="shared" ref="Q44:V44" si="14">SUM(Q32:Q42)</f>
        <v>0</v>
      </c>
      <c r="R44" s="352">
        <f t="shared" si="14"/>
        <v>0</v>
      </c>
      <c r="S44" s="352">
        <f t="shared" si="14"/>
        <v>0</v>
      </c>
      <c r="T44" s="352">
        <f t="shared" si="14"/>
        <v>0</v>
      </c>
      <c r="U44" s="352">
        <f t="shared" si="14"/>
        <v>0</v>
      </c>
      <c r="V44" s="352">
        <f t="shared" si="14"/>
        <v>0</v>
      </c>
      <c r="W44" s="286">
        <f t="shared" si="12"/>
        <v>0</v>
      </c>
      <c r="X44" s="287"/>
      <c r="Y44" s="335">
        <f t="shared" si="9"/>
        <v>0</v>
      </c>
      <c r="Z44" s="92"/>
      <c r="AA44" s="39"/>
      <c r="AB44" s="39"/>
      <c r="AC44" s="39"/>
      <c r="AD44" s="39"/>
      <c r="AE44" s="39"/>
      <c r="AF44" s="39"/>
      <c r="AG44" s="39"/>
      <c r="AH44" s="39"/>
    </row>
    <row r="45" spans="1:34" s="89" customFormat="1"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row>
    <row r="46" spans="1:34" s="89" customFormat="1"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row>
    <row r="47" spans="1:34" s="89" customFormat="1"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row>
    <row r="48" spans="1:34"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39"/>
      <c r="AB48" s="345" t="s">
        <v>137</v>
      </c>
      <c r="AC48" s="115"/>
      <c r="AD48" s="115"/>
      <c r="AE48" s="115"/>
      <c r="AF48" s="115"/>
      <c r="AG48" s="115"/>
      <c r="AH48" s="39"/>
    </row>
    <row r="49" spans="1:34"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39"/>
      <c r="AB49" s="39"/>
      <c r="AC49" s="115"/>
      <c r="AD49" s="115"/>
      <c r="AE49" s="115"/>
      <c r="AF49" s="115"/>
      <c r="AG49" s="115"/>
      <c r="AH49" s="115"/>
    </row>
    <row r="50" spans="1:34"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39"/>
      <c r="AB50" s="39"/>
      <c r="AC50" s="115"/>
      <c r="AD50" s="115"/>
      <c r="AE50" s="115"/>
      <c r="AF50" s="115"/>
      <c r="AG50" s="115"/>
      <c r="AH50" s="115"/>
    </row>
    <row r="51" spans="1:34" ht="13.6" customHeight="1" x14ac:dyDescent="0.25">
      <c r="A51" s="93"/>
      <c r="B51" s="92"/>
      <c r="C51" s="93"/>
      <c r="D51" s="93"/>
      <c r="E51" s="93"/>
      <c r="F51" s="93"/>
      <c r="G51" s="93"/>
      <c r="H51" s="93"/>
      <c r="I51" s="93"/>
      <c r="J51" s="93"/>
      <c r="L51" s="490" t="s">
        <v>18</v>
      </c>
      <c r="M51" s="491"/>
      <c r="N51" s="491"/>
      <c r="O51" s="492"/>
      <c r="P51" s="494">
        <f>Instructions!A5</f>
        <v>0</v>
      </c>
      <c r="Q51" s="505"/>
      <c r="R51" s="207">
        <f>+Y54*AC39</f>
        <v>0.16666666666666666</v>
      </c>
      <c r="S51" s="207">
        <f>Y33+Y51</f>
        <v>0</v>
      </c>
      <c r="T51" s="494">
        <f t="shared" ref="T51:T56" si="19">P51+R51-S51</f>
        <v>0.16666666666666666</v>
      </c>
      <c r="U51" s="495"/>
      <c r="V51" s="93"/>
      <c r="W51" s="247" t="s">
        <v>120</v>
      </c>
      <c r="X51" s="76"/>
      <c r="Y51" s="257">
        <v>0</v>
      </c>
      <c r="Z51" s="93"/>
      <c r="AA51" s="39"/>
      <c r="AB51" s="294" t="s">
        <v>131</v>
      </c>
      <c r="AC51" s="115"/>
      <c r="AD51" s="115"/>
      <c r="AE51" s="115"/>
      <c r="AF51" s="115"/>
      <c r="AG51" s="115"/>
      <c r="AH51" s="115"/>
    </row>
    <row r="52" spans="1:34" ht="13.6" customHeight="1" x14ac:dyDescent="0.25">
      <c r="A52" s="93"/>
      <c r="B52" s="92"/>
      <c r="C52" s="93"/>
      <c r="D52" s="93"/>
      <c r="E52" s="93"/>
      <c r="F52" s="93"/>
      <c r="G52" s="93"/>
      <c r="H52" s="93"/>
      <c r="I52" s="76"/>
      <c r="J52" s="93"/>
      <c r="L52" s="472" t="s">
        <v>19</v>
      </c>
      <c r="M52" s="473"/>
      <c r="N52" s="473"/>
      <c r="O52" s="474"/>
      <c r="P52" s="478">
        <f>Instructions!A6</f>
        <v>0</v>
      </c>
      <c r="Q52" s="493"/>
      <c r="R52" s="208">
        <f>+Y55*AC39</f>
        <v>0.16666666666666666</v>
      </c>
      <c r="S52" s="207">
        <f>Y34+Y35</f>
        <v>0</v>
      </c>
      <c r="T52" s="478">
        <f t="shared" si="19"/>
        <v>0.16666666666666666</v>
      </c>
      <c r="U52" s="480"/>
      <c r="V52" s="93"/>
      <c r="W52" s="76"/>
      <c r="X52" s="76"/>
      <c r="Y52" s="256"/>
      <c r="Z52" s="93"/>
      <c r="AA52" s="39"/>
      <c r="AB52" s="115"/>
      <c r="AC52" s="115"/>
      <c r="AD52" s="115"/>
      <c r="AE52" s="115"/>
      <c r="AF52" s="115"/>
      <c r="AG52" s="115"/>
      <c r="AH52" s="115"/>
    </row>
    <row r="53" spans="1:34" s="89" customFormat="1" ht="13.6" customHeight="1" x14ac:dyDescent="0.25">
      <c r="A53" s="93"/>
      <c r="B53" s="92"/>
      <c r="C53" s="93"/>
      <c r="D53" s="93"/>
      <c r="E53" s="93"/>
      <c r="F53" s="93"/>
      <c r="G53" s="93"/>
      <c r="H53" s="93"/>
      <c r="I53" s="76"/>
      <c r="J53" s="93"/>
      <c r="L53" s="472" t="s">
        <v>20</v>
      </c>
      <c r="M53" s="473"/>
      <c r="N53" s="473"/>
      <c r="O53" s="474"/>
      <c r="P53" s="478">
        <f>Instructions!A7</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row>
    <row r="54" spans="1:34" ht="13.6" customHeight="1" x14ac:dyDescent="0.25">
      <c r="A54" s="93"/>
      <c r="B54" s="92"/>
      <c r="C54" s="93"/>
      <c r="D54" s="93"/>
      <c r="E54" s="93"/>
      <c r="F54" s="249"/>
      <c r="G54" s="93"/>
      <c r="H54" s="93"/>
      <c r="I54" s="76"/>
      <c r="J54" s="93"/>
      <c r="L54" s="472" t="s">
        <v>100</v>
      </c>
      <c r="M54" s="473"/>
      <c r="N54" s="473"/>
      <c r="O54" s="474"/>
      <c r="P54" s="478">
        <f>Instructions!A8</f>
        <v>0</v>
      </c>
      <c r="Q54" s="493"/>
      <c r="R54" s="208">
        <f>Y27</f>
        <v>0</v>
      </c>
      <c r="S54" s="208">
        <f>Y36</f>
        <v>0</v>
      </c>
      <c r="T54" s="478">
        <f t="shared" si="19"/>
        <v>0</v>
      </c>
      <c r="U54" s="480"/>
      <c r="V54" s="93"/>
      <c r="W54" s="247" t="s">
        <v>123</v>
      </c>
      <c r="X54" s="76"/>
      <c r="Y54" s="257">
        <f>IF(Instructions!A14=0,Instructions!A11,FLOOR(ROUND(96*(AC25+Y48-Y42),0)/96/Instructions!C14,1)/24)</f>
        <v>0.16666666666666666</v>
      </c>
      <c r="Z54" s="93"/>
      <c r="AA54" s="39"/>
      <c r="AB54" s="39"/>
      <c r="AC54" s="39"/>
      <c r="AD54" s="39"/>
      <c r="AE54" s="229"/>
      <c r="AF54" s="229"/>
      <c r="AG54" s="115"/>
      <c r="AH54" s="39"/>
    </row>
    <row r="55" spans="1:34" ht="13.1" x14ac:dyDescent="0.25">
      <c r="A55" s="93"/>
      <c r="B55" s="92"/>
      <c r="C55" s="93"/>
      <c r="D55" s="93"/>
      <c r="E55" s="93"/>
      <c r="F55" s="93"/>
      <c r="G55" s="93"/>
      <c r="H55" s="93"/>
      <c r="I55" s="93"/>
      <c r="J55" s="93"/>
      <c r="L55" s="472" t="s">
        <v>90</v>
      </c>
      <c r="M55" s="473"/>
      <c r="N55" s="473"/>
      <c r="O55" s="474"/>
      <c r="P55" s="478">
        <f>Instructions!A9</f>
        <v>0</v>
      </c>
      <c r="Q55" s="493"/>
      <c r="R55" s="208">
        <f>Y28</f>
        <v>0</v>
      </c>
      <c r="S55" s="208">
        <f>Y37</f>
        <v>0</v>
      </c>
      <c r="T55" s="478">
        <f t="shared" si="19"/>
        <v>0</v>
      </c>
      <c r="U55" s="480"/>
      <c r="V55" s="93"/>
      <c r="W55" s="247" t="s">
        <v>124</v>
      </c>
      <c r="X55" s="76"/>
      <c r="Y55" s="257">
        <f>IF(Instructions!A14=0,Instructions!A12,FLOOR((ROUND(96*(AC26+Y48-Y42),0)/96)/20,1/24))</f>
        <v>0.16666666666666666</v>
      </c>
      <c r="Z55" s="93"/>
      <c r="AA55" s="39"/>
      <c r="AB55" s="39"/>
      <c r="AC55" s="39"/>
      <c r="AD55" s="39"/>
      <c r="AE55" s="39"/>
      <c r="AF55" s="39"/>
      <c r="AG55" s="39"/>
      <c r="AH55" s="39"/>
    </row>
    <row r="56" spans="1:34" ht="13.1" x14ac:dyDescent="0.25">
      <c r="A56" s="93"/>
      <c r="B56" s="92"/>
      <c r="C56" s="93"/>
      <c r="D56" s="93"/>
      <c r="E56" s="93"/>
      <c r="F56" s="93"/>
      <c r="G56" s="93"/>
      <c r="H56" s="93"/>
      <c r="I56" s="93"/>
      <c r="J56" s="93"/>
      <c r="L56" s="472" t="s">
        <v>72</v>
      </c>
      <c r="M56" s="473"/>
      <c r="N56" s="473"/>
      <c r="O56" s="474"/>
      <c r="P56" s="478">
        <f>Instructions!A10</f>
        <v>0</v>
      </c>
      <c r="Q56" s="493"/>
      <c r="R56" s="208"/>
      <c r="S56" s="208">
        <f>Y38</f>
        <v>0</v>
      </c>
      <c r="T56" s="478">
        <f t="shared" si="19"/>
        <v>0</v>
      </c>
      <c r="U56" s="480"/>
      <c r="V56" s="93"/>
      <c r="W56" s="76"/>
      <c r="X56" s="76"/>
      <c r="Y56" s="256"/>
      <c r="Z56" s="93"/>
      <c r="AA56" s="39"/>
      <c r="AB56" s="39"/>
      <c r="AC56" s="39"/>
      <c r="AD56" s="39"/>
      <c r="AE56" s="39"/>
      <c r="AF56" s="39"/>
      <c r="AG56" s="39"/>
      <c r="AH56" s="39"/>
    </row>
    <row r="57" spans="1:34" ht="13.75" thickBot="1" x14ac:dyDescent="0.3">
      <c r="A57" s="93"/>
      <c r="B57" s="92"/>
      <c r="J57" s="93"/>
      <c r="L57" s="475" t="s">
        <v>132</v>
      </c>
      <c r="M57" s="476"/>
      <c r="N57" s="476"/>
      <c r="O57" s="477"/>
      <c r="P57" s="481">
        <v>0</v>
      </c>
      <c r="Q57" s="506"/>
      <c r="R57" s="295" t="s">
        <v>133</v>
      </c>
      <c r="S57" s="209">
        <f>Y35</f>
        <v>0</v>
      </c>
      <c r="T57" s="481">
        <f>P57+S57</f>
        <v>0</v>
      </c>
      <c r="U57" s="483"/>
      <c r="V57" s="93"/>
      <c r="W57" s="76"/>
      <c r="X57" s="76"/>
      <c r="Y57" s="256"/>
      <c r="Z57" s="93"/>
      <c r="AA57" s="39"/>
      <c r="AB57" s="39"/>
      <c r="AC57" s="39"/>
      <c r="AD57" s="39"/>
      <c r="AE57" s="39"/>
      <c r="AF57" s="39"/>
      <c r="AG57" s="39"/>
      <c r="AH57" s="39"/>
    </row>
    <row r="58" spans="1:34" s="89" customFormat="1" ht="13.75" thickBot="1" x14ac:dyDescent="0.3">
      <c r="A58" s="93"/>
      <c r="B58" s="92"/>
      <c r="J58" s="250"/>
      <c r="L58" s="182" t="s">
        <v>127</v>
      </c>
      <c r="M58" s="183"/>
      <c r="N58" s="183"/>
      <c r="O58" s="183"/>
      <c r="P58" s="183"/>
      <c r="Q58" s="183"/>
      <c r="R58" s="183"/>
      <c r="S58" s="183"/>
      <c r="T58" s="183"/>
      <c r="U58" s="184"/>
      <c r="V58" s="93"/>
      <c r="W58" s="93"/>
      <c r="X58" s="76"/>
      <c r="Y58" s="256"/>
      <c r="Z58" s="93"/>
      <c r="AA58" s="115"/>
      <c r="AB58" s="115"/>
      <c r="AC58" s="115"/>
      <c r="AD58" s="115"/>
      <c r="AE58" s="115"/>
      <c r="AF58" s="115"/>
      <c r="AG58" s="115"/>
      <c r="AH58" s="115"/>
    </row>
    <row r="59" spans="1:34" s="89" customFormat="1" ht="13.1" x14ac:dyDescent="0.25">
      <c r="A59" s="93"/>
      <c r="B59" s="4" t="s">
        <v>129</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118</v>
      </c>
      <c r="AD59" s="115"/>
      <c r="AE59" s="115"/>
      <c r="AF59" s="115"/>
      <c r="AG59" s="115"/>
      <c r="AH59" s="115"/>
    </row>
    <row r="60" spans="1:34" s="89" customFormat="1"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22" t="s">
        <v>119</v>
      </c>
      <c r="AD60" s="115"/>
      <c r="AE60" s="115"/>
      <c r="AF60" s="115"/>
      <c r="AG60" s="115"/>
      <c r="AH60" s="115"/>
    </row>
    <row r="61" spans="1:34" s="89" customFormat="1" ht="13.75" thickBot="1" x14ac:dyDescent="0.3">
      <c r="A61" s="93"/>
      <c r="B61" s="92" t="s">
        <v>83</v>
      </c>
      <c r="C61" s="93"/>
      <c r="D61" s="93"/>
      <c r="E61" s="93"/>
      <c r="F61" s="93"/>
      <c r="G61" s="93"/>
      <c r="H61" s="250"/>
      <c r="I61" s="250" t="s">
        <v>84</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row>
    <row r="62" spans="1:34" ht="14.25" customHeight="1" x14ac:dyDescent="0.2">
      <c r="A62" s="93"/>
      <c r="B62" s="95" t="s">
        <v>128</v>
      </c>
      <c r="C62" s="96"/>
      <c r="D62" s="96"/>
      <c r="E62" s="96"/>
      <c r="F62" s="96"/>
      <c r="G62" s="96"/>
      <c r="H62" s="96"/>
      <c r="I62" s="260" t="s">
        <v>130</v>
      </c>
      <c r="J62" s="96"/>
      <c r="K62" s="96"/>
      <c r="L62" s="96"/>
      <c r="M62" s="96"/>
      <c r="N62" s="96"/>
      <c r="O62" s="96"/>
      <c r="P62" s="96"/>
      <c r="Q62" s="96"/>
      <c r="R62" s="96"/>
      <c r="S62" s="96"/>
      <c r="T62" s="96"/>
      <c r="U62" s="96"/>
      <c r="V62" s="96"/>
      <c r="W62" s="125"/>
      <c r="X62" s="125"/>
      <c r="Y62" s="88"/>
      <c r="Z62" s="93"/>
      <c r="AA62" s="39"/>
      <c r="AB62" s="39"/>
      <c r="AC62" s="39"/>
      <c r="AD62" s="39"/>
      <c r="AE62" s="39"/>
      <c r="AF62" s="39"/>
      <c r="AG62" s="39"/>
      <c r="AH62" s="39"/>
    </row>
    <row r="63" spans="1:34" x14ac:dyDescent="0.2">
      <c r="Z63" s="93"/>
    </row>
    <row r="65" spans="2:22" x14ac:dyDescent="0.2">
      <c r="B65" t="s">
        <v>203</v>
      </c>
      <c r="G65" s="384">
        <f>G30+SUM(G32:G41)</f>
        <v>0</v>
      </c>
      <c r="H65" s="384">
        <f t="shared" ref="H65:M65" si="20">H30+SUM(H32:H41)</f>
        <v>0</v>
      </c>
      <c r="I65" s="384">
        <f t="shared" si="20"/>
        <v>0</v>
      </c>
      <c r="J65" s="384">
        <f t="shared" si="20"/>
        <v>0</v>
      </c>
      <c r="K65" s="384">
        <f t="shared" si="20"/>
        <v>0</v>
      </c>
      <c r="L65" s="384">
        <f t="shared" si="20"/>
        <v>0</v>
      </c>
      <c r="M65" s="384">
        <f t="shared" si="20"/>
        <v>0</v>
      </c>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B23:C23"/>
    <mergeCell ref="B31:C31"/>
    <mergeCell ref="P15:Q15"/>
    <mergeCell ref="L57:O57"/>
    <mergeCell ref="L51:O51"/>
    <mergeCell ref="L50:O50"/>
    <mergeCell ref="L52:O52"/>
    <mergeCell ref="L53:O53"/>
    <mergeCell ref="L54:O54"/>
    <mergeCell ref="L55:O55"/>
    <mergeCell ref="L56:O56"/>
    <mergeCell ref="P51:Q51"/>
    <mergeCell ref="P52:Q52"/>
    <mergeCell ref="P53:Q53"/>
    <mergeCell ref="P54:Q54"/>
    <mergeCell ref="P57:Q57"/>
    <mergeCell ref="AC23:AD23"/>
    <mergeCell ref="T16:U16"/>
    <mergeCell ref="T50:U50"/>
    <mergeCell ref="P50:Q50"/>
    <mergeCell ref="L59:P59"/>
    <mergeCell ref="P56:Q56"/>
    <mergeCell ref="P55:Q55"/>
    <mergeCell ref="T51:U51"/>
    <mergeCell ref="T52:U52"/>
    <mergeCell ref="T53:U53"/>
    <mergeCell ref="T54:U54"/>
    <mergeCell ref="T55:U55"/>
    <mergeCell ref="T56:U56"/>
    <mergeCell ref="T57:U57"/>
    <mergeCell ref="L60:P60"/>
    <mergeCell ref="L61:P61"/>
    <mergeCell ref="Q59:U59"/>
    <mergeCell ref="Q60:U60"/>
    <mergeCell ref="Q61:U61"/>
  </mergeCells>
  <phoneticPr fontId="0" type="noConversion"/>
  <conditionalFormatting sqref="P3:V3 G3:N3">
    <cfRule type="cellIs" dxfId="309" priority="26" stopIfTrue="1" operator="equal">
      <formula>TODAY()</formula>
    </cfRule>
  </conditionalFormatting>
  <conditionalFormatting sqref="G24 N25:N28 M24:N24 N32:N42 G44:N44 P24 V24 W24:W28 W32:W42 P44:W44 G48:N48 P48:W48 G30:N30 P30:W30">
    <cfRule type="cellIs" dxfId="308" priority="27" operator="equal">
      <formula>0</formula>
    </cfRule>
  </conditionalFormatting>
  <conditionalFormatting sqref="O23:V23 G23:M23">
    <cfRule type="cellIs" dxfId="307" priority="29" stopIfTrue="1" operator="equal">
      <formula>TODAY()</formula>
    </cfRule>
  </conditionalFormatting>
  <conditionalFormatting sqref="G12:M13 P12:V13">
    <cfRule type="cellIs" dxfId="306" priority="17" stopIfTrue="1" operator="equal">
      <formula>0</formula>
    </cfRule>
  </conditionalFormatting>
  <conditionalFormatting sqref="G46:M46 P46:V46 N46 W46 Y46 Y44 Y42 Y41 Y40 Y39 Y38 Y37 Y36 Y35 Y34 Y33 Y32 Y30 Y28 Y27 Y26 Y25 Y24">
    <cfRule type="cellIs" dxfId="305" priority="15" stopIfTrue="1" operator="equal">
      <formula>0</formula>
    </cfRule>
  </conditionalFormatting>
  <conditionalFormatting sqref="T53:U53">
    <cfRule type="cellIs" dxfId="304" priority="8" stopIfTrue="1" operator="greaterThan">
      <formula>1</formula>
    </cfRule>
  </conditionalFormatting>
  <conditionalFormatting sqref="G48:M48">
    <cfRule type="expression" dxfId="303" priority="6">
      <formula>G48&lt;&gt;G18</formula>
    </cfRule>
  </conditionalFormatting>
  <conditionalFormatting sqref="P48:V48">
    <cfRule type="expression" dxfId="302" priority="4">
      <formula>P48&lt;&gt;P18</formula>
    </cfRule>
  </conditionalFormatting>
  <conditionalFormatting sqref="J24:L24 Q24:U24">
    <cfRule type="cellIs" dxfId="301" priority="3" operator="equal">
      <formula>0</formula>
    </cfRule>
  </conditionalFormatting>
  <conditionalFormatting sqref="H24:I24">
    <cfRule type="cellIs" dxfId="300" priority="1" operator="equal">
      <formula>0</formula>
    </cfRule>
  </conditionalFormatting>
  <pageMargins left="0.25" right="0.25" top="0.54" bottom="0.25" header="0" footer="0"/>
  <pageSetup scale="89"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I65"/>
  <sheetViews>
    <sheetView zoomScale="90" zoomScaleNormal="90" workbookViewId="0">
      <selection activeCell="I24" sqref="I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42751</v>
      </c>
      <c r="H3" s="120">
        <f t="shared" si="0"/>
        <v>42752</v>
      </c>
      <c r="I3" s="120">
        <f t="shared" si="0"/>
        <v>42753</v>
      </c>
      <c r="J3" s="120">
        <f t="shared" si="0"/>
        <v>42754</v>
      </c>
      <c r="K3" s="120">
        <f t="shared" si="0"/>
        <v>42755</v>
      </c>
      <c r="L3" s="120">
        <f t="shared" si="0"/>
        <v>42756</v>
      </c>
      <c r="M3" s="120">
        <f t="shared" si="0"/>
        <v>42757</v>
      </c>
      <c r="N3" s="120"/>
      <c r="O3" s="120"/>
      <c r="P3" s="120">
        <f t="shared" si="1"/>
        <v>42758</v>
      </c>
      <c r="Q3" s="120">
        <f t="shared" si="1"/>
        <v>42759</v>
      </c>
      <c r="R3" s="120">
        <f t="shared" si="1"/>
        <v>42760</v>
      </c>
      <c r="S3" s="120">
        <f t="shared" si="1"/>
        <v>42761</v>
      </c>
      <c r="T3" s="120">
        <f t="shared" si="1"/>
        <v>42762</v>
      </c>
      <c r="U3" s="120">
        <f t="shared" si="1"/>
        <v>42763</v>
      </c>
      <c r="V3" s="120">
        <f t="shared" si="1"/>
        <v>42764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'P1'!R15+1</f>
        <v>2</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'P1'!L16</f>
        <v>2021</v>
      </c>
      <c r="M16" s="96"/>
      <c r="N16" s="97"/>
      <c r="O16" s="93"/>
      <c r="P16" s="143" t="s">
        <v>16</v>
      </c>
      <c r="Q16" s="113">
        <f>'P1'!Q16+14</f>
        <v>42751</v>
      </c>
      <c r="R16" s="144" t="s">
        <v>17</v>
      </c>
      <c r="S16" s="113">
        <f>Q16+13</f>
        <v>42764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'P1'!G18</f>
        <v>0</v>
      </c>
      <c r="H18" s="326">
        <f>'P1'!H18</f>
        <v>0.33333333333333331</v>
      </c>
      <c r="I18" s="326">
        <f>'P1'!I18</f>
        <v>0.33333333333333331</v>
      </c>
      <c r="J18" s="326">
        <f>'P1'!J18</f>
        <v>0.33333333333333331</v>
      </c>
      <c r="K18" s="326">
        <f>'P1'!K18</f>
        <v>0.33333333333333331</v>
      </c>
      <c r="L18" s="326">
        <f>'P1'!L18</f>
        <v>0.33333333333333331</v>
      </c>
      <c r="M18" s="326">
        <f>'P1'!M18</f>
        <v>0</v>
      </c>
      <c r="N18" s="231">
        <f>SUM(G18:M18)</f>
        <v>1.6666666666666665</v>
      </c>
      <c r="O18" s="79"/>
      <c r="P18" s="326">
        <f>'P1'!P18</f>
        <v>0</v>
      </c>
      <c r="Q18" s="326">
        <f>'P1'!Q18</f>
        <v>0.33333333333333331</v>
      </c>
      <c r="R18" s="326">
        <f>'P1'!R18</f>
        <v>0.33333333333333331</v>
      </c>
      <c r="S18" s="326">
        <f>'P1'!S18</f>
        <v>0.33333333333333331</v>
      </c>
      <c r="T18" s="326">
        <f>'P1'!T18</f>
        <v>0.33333333333333331</v>
      </c>
      <c r="U18" s="326">
        <f>'P1'!U18</f>
        <v>0.33333333333333331</v>
      </c>
      <c r="V18" s="326">
        <f>'P1'!V18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'P1'!G19</f>
        <v>0</v>
      </c>
      <c r="H19" s="326">
        <f>'P1'!H19</f>
        <v>0.3125</v>
      </c>
      <c r="I19" s="326">
        <f>'P1'!I19</f>
        <v>0.3125</v>
      </c>
      <c r="J19" s="326">
        <f>'P1'!J19</f>
        <v>0.3125</v>
      </c>
      <c r="K19" s="326">
        <f>'P1'!K19</f>
        <v>0.3125</v>
      </c>
      <c r="L19" s="326">
        <f>'P1'!L19</f>
        <v>0.3125</v>
      </c>
      <c r="M19" s="326">
        <f>'P1'!M19</f>
        <v>0</v>
      </c>
      <c r="N19" s="87"/>
      <c r="O19" s="83"/>
      <c r="P19" s="326">
        <f>'P1'!P19</f>
        <v>0</v>
      </c>
      <c r="Q19" s="326">
        <f>'P1'!Q19</f>
        <v>0.3125</v>
      </c>
      <c r="R19" s="326">
        <f>'P1'!R19</f>
        <v>0.3125</v>
      </c>
      <c r="S19" s="326">
        <f>'P1'!S19</f>
        <v>0.3125</v>
      </c>
      <c r="T19" s="326">
        <f>'P1'!T19</f>
        <v>0.3125</v>
      </c>
      <c r="U19" s="326">
        <f>'P1'!U19</f>
        <v>0.3125</v>
      </c>
      <c r="V19" s="326">
        <f>'P1'!V19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'P1'!G20</f>
        <v>0</v>
      </c>
      <c r="H20" s="326">
        <f>'P1'!H20</f>
        <v>0.1875</v>
      </c>
      <c r="I20" s="326">
        <f>'P1'!I20</f>
        <v>0.1875</v>
      </c>
      <c r="J20" s="326">
        <f>'P1'!J20</f>
        <v>0.1875</v>
      </c>
      <c r="K20" s="326">
        <f>'P1'!K20</f>
        <v>0.1875</v>
      </c>
      <c r="L20" s="326">
        <f>'P1'!L20</f>
        <v>0.1875</v>
      </c>
      <c r="M20" s="326">
        <f>'P1'!M20</f>
        <v>0</v>
      </c>
      <c r="N20" s="112"/>
      <c r="O20" s="245"/>
      <c r="P20" s="326">
        <f>'P1'!P20</f>
        <v>0</v>
      </c>
      <c r="Q20" s="326">
        <f>'P1'!Q20</f>
        <v>0.1875</v>
      </c>
      <c r="R20" s="326">
        <f>'P1'!R20</f>
        <v>0.1875</v>
      </c>
      <c r="S20" s="326">
        <f>'P1'!S20</f>
        <v>0.1875</v>
      </c>
      <c r="T20" s="326">
        <f>'P1'!T20</f>
        <v>0.1875</v>
      </c>
      <c r="U20" s="326">
        <f>'P1'!U20</f>
        <v>0.1875</v>
      </c>
      <c r="V20" s="326">
        <f>'P1'!V20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42751</v>
      </c>
      <c r="H23" s="175">
        <f t="shared" ref="H23:M23" si="4">G23+1</f>
        <v>42752</v>
      </c>
      <c r="I23" s="175">
        <f t="shared" si="4"/>
        <v>42753</v>
      </c>
      <c r="J23" s="175">
        <f t="shared" si="4"/>
        <v>42754</v>
      </c>
      <c r="K23" s="175">
        <f t="shared" si="4"/>
        <v>42755</v>
      </c>
      <c r="L23" s="175">
        <f t="shared" si="4"/>
        <v>42756</v>
      </c>
      <c r="M23" s="175">
        <f t="shared" si="4"/>
        <v>42757</v>
      </c>
      <c r="N23" s="176"/>
      <c r="O23" s="84"/>
      <c r="P23" s="175">
        <f>M23+1</f>
        <v>42758</v>
      </c>
      <c r="Q23" s="175">
        <f t="shared" ref="Q23:V23" si="5">P23+1</f>
        <v>42759</v>
      </c>
      <c r="R23" s="175">
        <f t="shared" si="5"/>
        <v>42760</v>
      </c>
      <c r="S23" s="175">
        <f t="shared" si="5"/>
        <v>42761</v>
      </c>
      <c r="T23" s="175">
        <f t="shared" si="5"/>
        <v>42762</v>
      </c>
      <c r="U23" s="175">
        <f t="shared" si="5"/>
        <v>42763</v>
      </c>
      <c r="V23" s="175">
        <f t="shared" si="5"/>
        <v>42764</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7">
        <f t="shared" si="6"/>
        <v>0</v>
      </c>
      <c r="J24" s="327">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'P1'!AD25</f>
        <v>0</v>
      </c>
      <c r="AD25" s="229">
        <f>MOD(ROUND(96*(AC25+Y48-Y42),0)/96,Instructions!C14)</f>
        <v>0.33333333333333331</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'P1'!AD26</f>
        <v>0</v>
      </c>
      <c r="AD26" s="229">
        <f>MOD(ROUND(96*(AC26+Y48-Y42),0)/96,20/24)</f>
        <v>0.33333333333333331</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0.33333333333333331</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0.33333333333333331</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'P1'!AC38</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'P1'!T51</f>
        <v>0.16666666666666666</v>
      </c>
      <c r="Q51" s="505"/>
      <c r="R51" s="207">
        <f>+Y54*AC38</f>
        <v>0.16666666666666666</v>
      </c>
      <c r="S51" s="207">
        <f>Y33+Y51</f>
        <v>0</v>
      </c>
      <c r="T51" s="494">
        <f t="shared" ref="T51:T56" si="19">P51+R51-S51</f>
        <v>0.33333333333333331</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'P1'!T52</f>
        <v>0.16666666666666666</v>
      </c>
      <c r="Q52" s="493"/>
      <c r="R52" s="208">
        <f>+Y55*AC38</f>
        <v>0.16666666666666666</v>
      </c>
      <c r="S52" s="207">
        <f>Y34+Y35</f>
        <v>0</v>
      </c>
      <c r="T52" s="478">
        <f t="shared" si="19"/>
        <v>0.33333333333333331</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'P1'!T54</f>
        <v>0</v>
      </c>
      <c r="Q54" s="493"/>
      <c r="R54" s="208">
        <f>Y27</f>
        <v>0</v>
      </c>
      <c r="S54" s="208">
        <f>Y36</f>
        <v>0</v>
      </c>
      <c r="T54" s="478">
        <f t="shared" si="19"/>
        <v>0</v>
      </c>
      <c r="U54" s="480"/>
      <c r="V54" s="93"/>
      <c r="W54" s="247" t="s">
        <v>123</v>
      </c>
      <c r="X54" s="76"/>
      <c r="Y54" s="257">
        <f>IF(Instructions!A14=0,'P1'!Y54,FLOOR(ROUND(96*(AC25+Y48-Y42),0)/96/Instructions!C14,1)/24)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'P1'!T55</f>
        <v>0</v>
      </c>
      <c r="Q55" s="493"/>
      <c r="R55" s="208">
        <f>Y28</f>
        <v>0</v>
      </c>
      <c r="S55" s="208">
        <f>Y37</f>
        <v>0</v>
      </c>
      <c r="T55" s="478">
        <f t="shared" si="19"/>
        <v>0</v>
      </c>
      <c r="U55" s="480"/>
      <c r="V55" s="93"/>
      <c r="W55" s="247" t="s">
        <v>124</v>
      </c>
      <c r="X55" s="76"/>
      <c r="Y55" s="257">
        <f>IF(Instructions!A14=0,'P1'!Y55,FLOOR((ROUND(96*(AC26+Y48-Y42),0)/96)/20,1/24))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'P1'!B61</f>
        <v>____________________________</v>
      </c>
      <c r="C61" s="93"/>
      <c r="D61" s="93"/>
      <c r="E61" s="93"/>
      <c r="F61" s="93"/>
      <c r="G61" s="93"/>
      <c r="H61" s="250"/>
      <c r="I61" s="250" t="str">
        <f>'P1'!I61</f>
        <v>___________</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'P1'!B62</f>
        <v xml:space="preserve">    Employee Signature</v>
      </c>
      <c r="C62" s="96"/>
      <c r="D62" s="96"/>
      <c r="E62" s="96"/>
      <c r="F62" s="96"/>
      <c r="G62" s="96"/>
      <c r="H62" s="96"/>
      <c r="I62" s="260" t="str">
        <f>'P1'!I62</f>
        <v xml:space="preserve">    Date</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AC23:AD23"/>
    <mergeCell ref="B23:C23"/>
    <mergeCell ref="B31:C31"/>
  </mergeCells>
  <conditionalFormatting sqref="P3:V3 G3:N3">
    <cfRule type="cellIs" dxfId="299" priority="19" stopIfTrue="1" operator="equal">
      <formula>TODAY()</formula>
    </cfRule>
  </conditionalFormatting>
  <conditionalFormatting sqref="O23:V23 G23:M23">
    <cfRule type="cellIs" dxfId="298" priority="17" stopIfTrue="1" operator="equal">
      <formula>TODAY()</formula>
    </cfRule>
  </conditionalFormatting>
  <conditionalFormatting sqref="G12:M13 P12:V13">
    <cfRule type="cellIs" dxfId="297" priority="16" stopIfTrue="1" operator="equal">
      <formula>0</formula>
    </cfRule>
  </conditionalFormatting>
  <conditionalFormatting sqref="G46:N46 P46:W46 Y46 Y44 Y32:Y42 Y30 Y24:Y28">
    <cfRule type="cellIs" dxfId="296" priority="15" stopIfTrue="1" operator="equal">
      <formula>0</formula>
    </cfRule>
  </conditionalFormatting>
  <conditionalFormatting sqref="T53:U53">
    <cfRule type="cellIs" dxfId="295" priority="12" stopIfTrue="1" operator="greaterThan">
      <formula>1</formula>
    </cfRule>
  </conditionalFormatting>
  <conditionalFormatting sqref="G18:M20 P18:V20">
    <cfRule type="cellIs" dxfId="294" priority="11" operator="equal">
      <formula>0</formula>
    </cfRule>
  </conditionalFormatting>
  <conditionalFormatting sqref="G48:M48 P48 Q48 R48 S48 T48 U48 V48">
    <cfRule type="expression" dxfId="293" priority="5">
      <formula>G48&lt;&gt;G18</formula>
    </cfRule>
  </conditionalFormatting>
  <conditionalFormatting sqref="P48:V48">
    <cfRule type="expression" dxfId="292" priority="6">
      <formula>P48&lt;&gt;P18</formula>
    </cfRule>
  </conditionalFormatting>
  <conditionalFormatting sqref="G30 H30 I30 J30 K30 L30 M24 N24 N25 N26 N27 N28 N30 P30 Q30 R30 S30 T30 U30 V24 P24 W24 W25 W26 W27 W28 W30 W32 W33 W34 W35 W36 W37 W38 W39 W40 W41 W42 W44 W48 V48 U48 T48 S48 R48 Q48 P48 N48 M48 L48 K48 J48 I48 H48 G48 G32 G33 G34 G35 G35 G34 G33 G32 N32 N33 N34 N35 N36 N37 N38 N39 N40 N41 N42 N44 G44 H44 I44 J44 K44 L44 M44 P44 Q44 R44 S44 T44 U44 V44 G24">
    <cfRule type="cellIs" dxfId="291" priority="8" operator="equal">
      <formula>0</formula>
    </cfRule>
  </conditionalFormatting>
  <conditionalFormatting sqref="Q24:U24 H24:L24">
    <cfRule type="cellIs" dxfId="290" priority="4" operator="equal">
      <formula>0</formula>
    </cfRule>
  </conditionalFormatting>
  <conditionalFormatting sqref="M30">
    <cfRule type="cellIs" dxfId="289" priority="2" operator="equal">
      <formula>0</formula>
    </cfRule>
  </conditionalFormatting>
  <conditionalFormatting sqref="V30">
    <cfRule type="cellIs" dxfId="288" priority="1" operator="equal">
      <formula>0</formula>
    </cfRule>
  </conditionalFormatting>
  <pageMargins left="0.25" right="0.25" top="0.54" bottom="0.25" header="0" footer="0"/>
  <pageSetup scale="9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42765</v>
      </c>
      <c r="H3" s="120">
        <f t="shared" si="0"/>
        <v>42766</v>
      </c>
      <c r="I3" s="120">
        <f t="shared" si="0"/>
        <v>42767</v>
      </c>
      <c r="J3" s="120">
        <f t="shared" si="0"/>
        <v>42768</v>
      </c>
      <c r="K3" s="120">
        <f t="shared" si="0"/>
        <v>42769</v>
      </c>
      <c r="L3" s="120">
        <f t="shared" si="0"/>
        <v>42770</v>
      </c>
      <c r="M3" s="120">
        <f t="shared" si="0"/>
        <v>42771</v>
      </c>
      <c r="N3" s="120"/>
      <c r="O3" s="120"/>
      <c r="P3" s="120">
        <f t="shared" si="1"/>
        <v>42772</v>
      </c>
      <c r="Q3" s="120">
        <f t="shared" si="1"/>
        <v>42773</v>
      </c>
      <c r="R3" s="120">
        <f t="shared" si="1"/>
        <v>42774</v>
      </c>
      <c r="S3" s="120">
        <f t="shared" si="1"/>
        <v>42775</v>
      </c>
      <c r="T3" s="120">
        <f t="shared" si="1"/>
        <v>42776</v>
      </c>
      <c r="U3" s="120">
        <f t="shared" si="1"/>
        <v>42777</v>
      </c>
      <c r="V3" s="120">
        <f t="shared" si="1"/>
        <v>42778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'P2'!R15+1</f>
        <v>3</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'P2'!L16</f>
        <v>2021</v>
      </c>
      <c r="M16" s="96"/>
      <c r="N16" s="97"/>
      <c r="O16" s="93"/>
      <c r="P16" s="143" t="s">
        <v>16</v>
      </c>
      <c r="Q16" s="113">
        <f>'P2'!Q16+14</f>
        <v>42765</v>
      </c>
      <c r="R16" s="144" t="s">
        <v>17</v>
      </c>
      <c r="S16" s="113">
        <f>Q16+13</f>
        <v>42778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'P2'!G18</f>
        <v>0</v>
      </c>
      <c r="H18" s="326">
        <f>'P2'!H18</f>
        <v>0.33333333333333331</v>
      </c>
      <c r="I18" s="326">
        <f>'P2'!I18</f>
        <v>0.33333333333333331</v>
      </c>
      <c r="J18" s="326">
        <f>'P2'!J18</f>
        <v>0.33333333333333331</v>
      </c>
      <c r="K18" s="326">
        <f>'P2'!K18</f>
        <v>0.33333333333333331</v>
      </c>
      <c r="L18" s="326">
        <f>'P2'!L18</f>
        <v>0.33333333333333331</v>
      </c>
      <c r="M18" s="326">
        <f>'P2'!M18</f>
        <v>0</v>
      </c>
      <c r="N18" s="231">
        <f>SUM(G18:M18)</f>
        <v>1.6666666666666665</v>
      </c>
      <c r="O18" s="79"/>
      <c r="P18" s="326">
        <f>'P2'!P18</f>
        <v>0</v>
      </c>
      <c r="Q18" s="326">
        <f>'P2'!Q18</f>
        <v>0.33333333333333331</v>
      </c>
      <c r="R18" s="326">
        <f>'P2'!R18</f>
        <v>0.33333333333333331</v>
      </c>
      <c r="S18" s="326">
        <f>'P2'!S18</f>
        <v>0.33333333333333331</v>
      </c>
      <c r="T18" s="326">
        <f>'P2'!T18</f>
        <v>0.33333333333333331</v>
      </c>
      <c r="U18" s="326">
        <f>'P2'!U18</f>
        <v>0.33333333333333331</v>
      </c>
      <c r="V18" s="326">
        <f>'P2'!V18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'P2'!G19</f>
        <v>0</v>
      </c>
      <c r="H19" s="326">
        <f>'P2'!H19</f>
        <v>0.3125</v>
      </c>
      <c r="I19" s="326">
        <f>'P2'!I19</f>
        <v>0.3125</v>
      </c>
      <c r="J19" s="326">
        <f>'P2'!J19</f>
        <v>0.3125</v>
      </c>
      <c r="K19" s="326">
        <f>'P2'!K19</f>
        <v>0.3125</v>
      </c>
      <c r="L19" s="326">
        <f>'P2'!L19</f>
        <v>0.3125</v>
      </c>
      <c r="M19" s="326">
        <f>'P2'!M19</f>
        <v>0</v>
      </c>
      <c r="N19" s="87"/>
      <c r="O19" s="83"/>
      <c r="P19" s="326">
        <f>'P2'!P19</f>
        <v>0</v>
      </c>
      <c r="Q19" s="326">
        <f>'P2'!Q19</f>
        <v>0.3125</v>
      </c>
      <c r="R19" s="326">
        <f>'P2'!R19</f>
        <v>0.3125</v>
      </c>
      <c r="S19" s="326">
        <f>'P2'!S19</f>
        <v>0.3125</v>
      </c>
      <c r="T19" s="326">
        <f>'P2'!T19</f>
        <v>0.3125</v>
      </c>
      <c r="U19" s="326">
        <f>'P2'!U19</f>
        <v>0.3125</v>
      </c>
      <c r="V19" s="326">
        <f>'P2'!V19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'P2'!G20</f>
        <v>0</v>
      </c>
      <c r="H20" s="326">
        <f>'P2'!H20</f>
        <v>0.1875</v>
      </c>
      <c r="I20" s="326">
        <f>'P2'!I20</f>
        <v>0.1875</v>
      </c>
      <c r="J20" s="326">
        <f>'P2'!J20</f>
        <v>0.1875</v>
      </c>
      <c r="K20" s="326">
        <f>'P2'!K20</f>
        <v>0.1875</v>
      </c>
      <c r="L20" s="326">
        <f>'P2'!L20</f>
        <v>0.1875</v>
      </c>
      <c r="M20" s="326">
        <f>'P2'!M20</f>
        <v>0</v>
      </c>
      <c r="N20" s="112"/>
      <c r="O20" s="245"/>
      <c r="P20" s="326">
        <f>'P2'!P20</f>
        <v>0</v>
      </c>
      <c r="Q20" s="326">
        <f>'P2'!Q20</f>
        <v>0.1875</v>
      </c>
      <c r="R20" s="326">
        <f>'P2'!R20</f>
        <v>0.1875</v>
      </c>
      <c r="S20" s="326">
        <f>'P2'!S20</f>
        <v>0.1875</v>
      </c>
      <c r="T20" s="326">
        <f>'P2'!T20</f>
        <v>0.1875</v>
      </c>
      <c r="U20" s="326">
        <f>'P2'!U20</f>
        <v>0.1875</v>
      </c>
      <c r="V20" s="326">
        <f>'P2'!V20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42765</v>
      </c>
      <c r="H23" s="175">
        <f t="shared" ref="H23:M23" si="4">G23+1</f>
        <v>42766</v>
      </c>
      <c r="I23" s="175">
        <f t="shared" si="4"/>
        <v>42767</v>
      </c>
      <c r="J23" s="175">
        <f t="shared" si="4"/>
        <v>42768</v>
      </c>
      <c r="K23" s="175">
        <f t="shared" si="4"/>
        <v>42769</v>
      </c>
      <c r="L23" s="175">
        <f t="shared" si="4"/>
        <v>42770</v>
      </c>
      <c r="M23" s="175">
        <f t="shared" si="4"/>
        <v>42771</v>
      </c>
      <c r="N23" s="176"/>
      <c r="O23" s="84"/>
      <c r="P23" s="175">
        <f>M23+1</f>
        <v>42772</v>
      </c>
      <c r="Q23" s="175">
        <f t="shared" ref="Q23:V23" si="5">P23+1</f>
        <v>42773</v>
      </c>
      <c r="R23" s="175">
        <f t="shared" si="5"/>
        <v>42774</v>
      </c>
      <c r="S23" s="175">
        <f t="shared" si="5"/>
        <v>42775</v>
      </c>
      <c r="T23" s="175">
        <f t="shared" si="5"/>
        <v>42776</v>
      </c>
      <c r="U23" s="175">
        <f t="shared" si="5"/>
        <v>42777</v>
      </c>
      <c r="V23" s="175">
        <f t="shared" si="5"/>
        <v>42778</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8">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'P2'!AD25</f>
        <v>0.33333333333333331</v>
      </c>
      <c r="AD25" s="229">
        <f>MOD(ROUND(96*(AC25+Y48-Y42),0)/96,Instructions!C14)</f>
        <v>0.33333333333333331</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'P2'!AD26</f>
        <v>0.33333333333333331</v>
      </c>
      <c r="AD26" s="229">
        <f>MOD(ROUND(96*(AC26+Y48-Y42),0)/96,20/24)</f>
        <v>0.33333333333333331</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0.5</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0.5</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'P2'!T51</f>
        <v>0.33333333333333331</v>
      </c>
      <c r="Q51" s="505"/>
      <c r="R51" s="207">
        <f>+Y54*AC38</f>
        <v>0.16666666666666666</v>
      </c>
      <c r="S51" s="207">
        <f>Y33+Y51</f>
        <v>0</v>
      </c>
      <c r="T51" s="494">
        <f t="shared" ref="T51:T56" si="19">P51+R51-S51</f>
        <v>0.5</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'P2'!T52</f>
        <v>0.33333333333333331</v>
      </c>
      <c r="Q52" s="493"/>
      <c r="R52" s="208">
        <f>+Y55*AC38</f>
        <v>0.16666666666666666</v>
      </c>
      <c r="S52" s="207">
        <f>Y34+Y35</f>
        <v>0</v>
      </c>
      <c r="T52" s="478">
        <f t="shared" si="19"/>
        <v>0.5</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MIN(Instructions!$C$7,'P2'!T53)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'P2'!T54</f>
        <v>0</v>
      </c>
      <c r="Q54" s="493"/>
      <c r="R54" s="208">
        <f>Y27</f>
        <v>0</v>
      </c>
      <c r="S54" s="208">
        <f>Y36</f>
        <v>0</v>
      </c>
      <c r="T54" s="478">
        <f t="shared" si="19"/>
        <v>0</v>
      </c>
      <c r="U54" s="480"/>
      <c r="V54" s="93"/>
      <c r="W54" s="247" t="s">
        <v>123</v>
      </c>
      <c r="X54" s="76"/>
      <c r="Y54" s="257">
        <f>IF(Instructions!A14=0,'P2'!Y54,FLOOR((ROUND(96*(AC25+Y48-Y42),0)/96)/Instructions!C14,1)/24)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'P2'!T55</f>
        <v>0</v>
      </c>
      <c r="Q55" s="493"/>
      <c r="R55" s="208">
        <f>Y28</f>
        <v>0</v>
      </c>
      <c r="S55" s="208">
        <f>Y37</f>
        <v>0</v>
      </c>
      <c r="T55" s="478">
        <f t="shared" si="19"/>
        <v>0</v>
      </c>
      <c r="U55" s="480"/>
      <c r="V55" s="93"/>
      <c r="W55" s="247" t="s">
        <v>124</v>
      </c>
      <c r="X55" s="76"/>
      <c r="Y55" s="257">
        <f>IF(Instructions!A14=0,'P2'!Y55,FLOOR((ROUND(96*(AC26+Y48-Y42),0)/96)/20,1/24))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'P2'!T56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'P2'!T57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'P2'!B59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'P2'!B61</f>
        <v>____________________________</v>
      </c>
      <c r="C61" s="93"/>
      <c r="D61" s="93"/>
      <c r="E61" s="93"/>
      <c r="F61" s="93"/>
      <c r="G61" s="93"/>
      <c r="H61" s="250"/>
      <c r="I61" s="250" t="str">
        <f>'P2'!I61</f>
        <v>___________</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'P2'!B62</f>
        <v xml:space="preserve">    Employee Signature</v>
      </c>
      <c r="C62" s="96"/>
      <c r="D62" s="96"/>
      <c r="E62" s="96"/>
      <c r="F62" s="96"/>
      <c r="G62" s="96"/>
      <c r="H62" s="96"/>
      <c r="I62" s="260" t="str">
        <f>'P2'!I62</f>
        <v xml:space="preserve">    Date</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87" priority="12" stopIfTrue="1" operator="equal">
      <formula>TODAY()</formula>
    </cfRule>
  </conditionalFormatting>
  <conditionalFormatting sqref="O23:V23 G23:M23">
    <cfRule type="cellIs" dxfId="286" priority="11" stopIfTrue="1" operator="equal">
      <formula>TODAY()</formula>
    </cfRule>
  </conditionalFormatting>
  <conditionalFormatting sqref="G12:M13 P12:V13">
    <cfRule type="cellIs" dxfId="285" priority="10" stopIfTrue="1" operator="equal">
      <formula>0</formula>
    </cfRule>
  </conditionalFormatting>
  <conditionalFormatting sqref="G46:N46 P46:W46 Y46 Y44 Y32:Y42 Y30 Y24:Y28">
    <cfRule type="cellIs" dxfId="284" priority="9" stopIfTrue="1" operator="equal">
      <formula>0</formula>
    </cfRule>
  </conditionalFormatting>
  <conditionalFormatting sqref="T53:U53">
    <cfRule type="cellIs" dxfId="283" priority="8" stopIfTrue="1" operator="greaterThan">
      <formula>1</formula>
    </cfRule>
  </conditionalFormatting>
  <conditionalFormatting sqref="G18:M20 P18:V20">
    <cfRule type="cellIs" dxfId="282" priority="7" operator="equal">
      <formula>0</formula>
    </cfRule>
  </conditionalFormatting>
  <conditionalFormatting sqref="G48:M48 P48:V48">
    <cfRule type="expression" dxfId="281" priority="4">
      <formula>G48&lt;&gt;G18</formula>
    </cfRule>
  </conditionalFormatting>
  <conditionalFormatting sqref="P48:V48">
    <cfRule type="expression" dxfId="280" priority="5">
      <formula>P48&lt;&gt;P18</formula>
    </cfRule>
  </conditionalFormatting>
  <conditionalFormatting sqref="G30:L30 M24 N24:N28 N30 P30:U30 V24 P24 W24:W28 W30 W32:W42 P48:W48 G48:N48 G32:G35 N32:N42 G44:N44 P44:W44 G24">
    <cfRule type="cellIs" dxfId="279" priority="6" operator="equal">
      <formula>0</formula>
    </cfRule>
  </conditionalFormatting>
  <conditionalFormatting sqref="Q24:U24 H24:L24">
    <cfRule type="cellIs" dxfId="278" priority="3" operator="equal">
      <formula>0</formula>
    </cfRule>
  </conditionalFormatting>
  <conditionalFormatting sqref="M30">
    <cfRule type="cellIs" dxfId="277" priority="2" operator="equal">
      <formula>0</formula>
    </cfRule>
  </conditionalFormatting>
  <conditionalFormatting sqref="V30">
    <cfRule type="cellIs" dxfId="276" priority="1" operator="equal">
      <formula>0</formula>
    </cfRule>
  </conditionalFormatting>
  <pageMargins left="0.25" right="0.25" top="0.54" bottom="0.25" header="0" footer="0"/>
  <pageSetup scale="89"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I65"/>
  <sheetViews>
    <sheetView zoomScale="90" workbookViewId="0">
      <selection activeCell="I24" sqref="I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42779</v>
      </c>
      <c r="H3" s="120">
        <f t="shared" si="0"/>
        <v>42780</v>
      </c>
      <c r="I3" s="120">
        <f t="shared" si="0"/>
        <v>42781</v>
      </c>
      <c r="J3" s="120">
        <f t="shared" si="0"/>
        <v>42782</v>
      </c>
      <c r="K3" s="120">
        <f t="shared" si="0"/>
        <v>42783</v>
      </c>
      <c r="L3" s="120">
        <f t="shared" si="0"/>
        <v>42784</v>
      </c>
      <c r="M3" s="120">
        <f t="shared" si="0"/>
        <v>42785</v>
      </c>
      <c r="N3" s="120"/>
      <c r="O3" s="120"/>
      <c r="P3" s="120">
        <f t="shared" si="1"/>
        <v>42786</v>
      </c>
      <c r="Q3" s="120">
        <f t="shared" si="1"/>
        <v>42787</v>
      </c>
      <c r="R3" s="120">
        <f t="shared" si="1"/>
        <v>42788</v>
      </c>
      <c r="S3" s="120">
        <f t="shared" si="1"/>
        <v>42789</v>
      </c>
      <c r="T3" s="120">
        <f t="shared" si="1"/>
        <v>42790</v>
      </c>
      <c r="U3" s="120">
        <f t="shared" si="1"/>
        <v>42791</v>
      </c>
      <c r="V3" s="120">
        <f t="shared" si="1"/>
        <v>42792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'P3'!R15+1</f>
        <v>4</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'P3'!L16</f>
        <v>2021</v>
      </c>
      <c r="M16" s="96"/>
      <c r="N16" s="97"/>
      <c r="O16" s="93"/>
      <c r="P16" s="143" t="s">
        <v>16</v>
      </c>
      <c r="Q16" s="113">
        <f>'P3'!Q16+14</f>
        <v>42779</v>
      </c>
      <c r="R16" s="144" t="s">
        <v>17</v>
      </c>
      <c r="S16" s="113">
        <f>Q16+13</f>
        <v>42792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'P3'!G18</f>
        <v>0</v>
      </c>
      <c r="H18" s="326">
        <f>'P3'!H18</f>
        <v>0.33333333333333331</v>
      </c>
      <c r="I18" s="326">
        <f>'P3'!I18</f>
        <v>0.33333333333333331</v>
      </c>
      <c r="J18" s="326">
        <f>'P3'!J18</f>
        <v>0.33333333333333331</v>
      </c>
      <c r="K18" s="326">
        <f>'P3'!K18</f>
        <v>0.33333333333333331</v>
      </c>
      <c r="L18" s="326">
        <f>'P3'!L18</f>
        <v>0.33333333333333331</v>
      </c>
      <c r="M18" s="326">
        <f>'P3'!M18</f>
        <v>0</v>
      </c>
      <c r="N18" s="231">
        <f>SUM(G18:M18)</f>
        <v>1.6666666666666665</v>
      </c>
      <c r="O18" s="79"/>
      <c r="P18" s="326">
        <f>'P3'!P18</f>
        <v>0</v>
      </c>
      <c r="Q18" s="326">
        <f>'P3'!Q18</f>
        <v>0.33333333333333331</v>
      </c>
      <c r="R18" s="326">
        <f>'P3'!R18</f>
        <v>0.33333333333333331</v>
      </c>
      <c r="S18" s="326">
        <f>'P3'!S18</f>
        <v>0.33333333333333331</v>
      </c>
      <c r="T18" s="326">
        <f>'P3'!T18</f>
        <v>0.33333333333333331</v>
      </c>
      <c r="U18" s="326">
        <f>'P3'!U18</f>
        <v>0.33333333333333331</v>
      </c>
      <c r="V18" s="326">
        <f>'P3'!V18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'P3'!G19</f>
        <v>0</v>
      </c>
      <c r="H19" s="326">
        <f>'P3'!H19</f>
        <v>0.3125</v>
      </c>
      <c r="I19" s="326">
        <f>'P3'!I19</f>
        <v>0.3125</v>
      </c>
      <c r="J19" s="326">
        <f>'P3'!J19</f>
        <v>0.3125</v>
      </c>
      <c r="K19" s="326">
        <f>'P3'!K19</f>
        <v>0.3125</v>
      </c>
      <c r="L19" s="326">
        <f>'P3'!L19</f>
        <v>0.3125</v>
      </c>
      <c r="M19" s="326">
        <f>'P3'!M19</f>
        <v>0</v>
      </c>
      <c r="N19" s="87"/>
      <c r="O19" s="83"/>
      <c r="P19" s="326">
        <f>'P3'!P19</f>
        <v>0</v>
      </c>
      <c r="Q19" s="326">
        <f>'P3'!Q19</f>
        <v>0.3125</v>
      </c>
      <c r="R19" s="326">
        <f>'P3'!R19</f>
        <v>0.3125</v>
      </c>
      <c r="S19" s="326">
        <f>'P3'!S19</f>
        <v>0.3125</v>
      </c>
      <c r="T19" s="326">
        <f>'P3'!T19</f>
        <v>0.3125</v>
      </c>
      <c r="U19" s="326">
        <f>'P3'!U19</f>
        <v>0.3125</v>
      </c>
      <c r="V19" s="326">
        <f>'P3'!V19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'P3'!G20</f>
        <v>0</v>
      </c>
      <c r="H20" s="326">
        <f>'P3'!H20</f>
        <v>0.1875</v>
      </c>
      <c r="I20" s="326">
        <f>'P3'!I20</f>
        <v>0.1875</v>
      </c>
      <c r="J20" s="326">
        <f>'P3'!J20</f>
        <v>0.1875</v>
      </c>
      <c r="K20" s="326">
        <f>'P3'!K20</f>
        <v>0.1875</v>
      </c>
      <c r="L20" s="326">
        <f>'P3'!L20</f>
        <v>0.1875</v>
      </c>
      <c r="M20" s="326">
        <f>'P3'!M20</f>
        <v>0</v>
      </c>
      <c r="N20" s="112"/>
      <c r="O20" s="245"/>
      <c r="P20" s="326">
        <f>'P3'!P20</f>
        <v>0</v>
      </c>
      <c r="Q20" s="326">
        <f>'P3'!Q20</f>
        <v>0.1875</v>
      </c>
      <c r="R20" s="326">
        <f>'P3'!R20</f>
        <v>0.1875</v>
      </c>
      <c r="S20" s="326">
        <f>'P3'!S20</f>
        <v>0.1875</v>
      </c>
      <c r="T20" s="326">
        <f>'P3'!T20</f>
        <v>0.1875</v>
      </c>
      <c r="U20" s="326">
        <f>'P3'!U20</f>
        <v>0.1875</v>
      </c>
      <c r="V20" s="326">
        <f>'P3'!V20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42779</v>
      </c>
      <c r="H23" s="175">
        <f t="shared" ref="H23:M23" si="4">G23+1</f>
        <v>42780</v>
      </c>
      <c r="I23" s="175">
        <f t="shared" si="4"/>
        <v>42781</v>
      </c>
      <c r="J23" s="175">
        <f t="shared" si="4"/>
        <v>42782</v>
      </c>
      <c r="K23" s="175">
        <f t="shared" si="4"/>
        <v>42783</v>
      </c>
      <c r="L23" s="175">
        <f t="shared" si="4"/>
        <v>42784</v>
      </c>
      <c r="M23" s="175">
        <f t="shared" si="4"/>
        <v>42785</v>
      </c>
      <c r="N23" s="176"/>
      <c r="O23" s="84"/>
      <c r="P23" s="175">
        <f>M23+1</f>
        <v>42786</v>
      </c>
      <c r="Q23" s="175">
        <f t="shared" ref="Q23:V23" si="5">P23+1</f>
        <v>42787</v>
      </c>
      <c r="R23" s="175">
        <f t="shared" si="5"/>
        <v>42788</v>
      </c>
      <c r="S23" s="175">
        <f t="shared" si="5"/>
        <v>42789</v>
      </c>
      <c r="T23" s="175">
        <f t="shared" si="5"/>
        <v>42790</v>
      </c>
      <c r="U23" s="175">
        <f t="shared" si="5"/>
        <v>42791</v>
      </c>
      <c r="V23" s="175">
        <f t="shared" si="5"/>
        <v>42792</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'P3'!AD25</f>
        <v>0.33333333333333331</v>
      </c>
      <c r="AD25" s="229">
        <f>MOD(ROUND(96*(AC25+Y48-Y42),0)/96,Instructions!C14)</f>
        <v>0.66666666666666663</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'P3'!AD26</f>
        <v>0.33333333333333331</v>
      </c>
      <c r="AD26" s="229">
        <f>MOD(ROUND(96*(AC26+Y48-Y42),0)/96,20/24)</f>
        <v>0.66666666666666663</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0.66666666666666663</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0.66666666666666663</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'P3'!AC37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375"/>
      <c r="C51" s="93"/>
      <c r="D51" s="93"/>
      <c r="E51" s="93"/>
      <c r="F51" s="93"/>
      <c r="G51" s="93"/>
      <c r="H51" s="376"/>
      <c r="I51" s="76"/>
      <c r="J51" s="93"/>
      <c r="L51" s="490" t="s">
        <v>18</v>
      </c>
      <c r="M51" s="491"/>
      <c r="N51" s="491"/>
      <c r="O51" s="492"/>
      <c r="P51" s="494">
        <f>'P3'!T51</f>
        <v>0.5</v>
      </c>
      <c r="Q51" s="505"/>
      <c r="R51" s="207">
        <f>+Y54*AC38</f>
        <v>0.16666666666666666</v>
      </c>
      <c r="S51" s="207">
        <f>Y33+Y51</f>
        <v>0</v>
      </c>
      <c r="T51" s="494">
        <f t="shared" ref="T51:T56" si="19">P51+R51-S51</f>
        <v>0.66666666666666663</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376"/>
      <c r="I52" s="76"/>
      <c r="J52" s="93"/>
      <c r="L52" s="472" t="s">
        <v>19</v>
      </c>
      <c r="M52" s="473"/>
      <c r="N52" s="473"/>
      <c r="O52" s="474"/>
      <c r="P52" s="478">
        <f>'P3'!T52</f>
        <v>0.5</v>
      </c>
      <c r="Q52" s="493"/>
      <c r="R52" s="208">
        <f>+Y55*AC38</f>
        <v>0.16666666666666666</v>
      </c>
      <c r="S52" s="207">
        <f>Y34+Y35</f>
        <v>0</v>
      </c>
      <c r="T52" s="478">
        <f t="shared" si="19"/>
        <v>0.66666666666666663</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377"/>
      <c r="I53" s="76"/>
      <c r="J53" s="93"/>
      <c r="L53" s="472" t="s">
        <v>20</v>
      </c>
      <c r="M53" s="473"/>
      <c r="N53" s="473"/>
      <c r="O53" s="474"/>
      <c r="P53" s="478">
        <f>MIN(Instructions!$C$7,'P3'!T53)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377"/>
      <c r="I54" s="76"/>
      <c r="J54" s="93"/>
      <c r="L54" s="472" t="s">
        <v>100</v>
      </c>
      <c r="M54" s="473"/>
      <c r="N54" s="473"/>
      <c r="O54" s="474"/>
      <c r="P54" s="478">
        <f>'P3'!T54</f>
        <v>0</v>
      </c>
      <c r="Q54" s="493"/>
      <c r="R54" s="208">
        <f>Y27</f>
        <v>0</v>
      </c>
      <c r="S54" s="208">
        <f>Y36</f>
        <v>0</v>
      </c>
      <c r="T54" s="478">
        <f t="shared" si="19"/>
        <v>0</v>
      </c>
      <c r="U54" s="480"/>
      <c r="V54" s="93"/>
      <c r="W54" s="247" t="s">
        <v>123</v>
      </c>
      <c r="X54" s="76"/>
      <c r="Y54" s="257">
        <f>IF(Instructions!A14=0,'P3'!Y54,FLOOR((ROUND(96*(AC25+Y48-Y42),0)/96)/Instructions!C14,1)/24)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377"/>
      <c r="I55" s="76"/>
      <c r="J55" s="93"/>
      <c r="L55" s="472" t="s">
        <v>90</v>
      </c>
      <c r="M55" s="473"/>
      <c r="N55" s="473"/>
      <c r="O55" s="474"/>
      <c r="P55" s="478">
        <f>'P3'!T55</f>
        <v>0</v>
      </c>
      <c r="Q55" s="493"/>
      <c r="R55" s="208">
        <f>Y28</f>
        <v>0</v>
      </c>
      <c r="S55" s="208">
        <f>Y37</f>
        <v>0</v>
      </c>
      <c r="T55" s="478">
        <f t="shared" si="19"/>
        <v>0</v>
      </c>
      <c r="U55" s="480"/>
      <c r="V55" s="93"/>
      <c r="W55" s="247" t="s">
        <v>124</v>
      </c>
      <c r="X55" s="76"/>
      <c r="Y55" s="257">
        <f>IF(Instructions!A14=0,'P3'!Y55,FLOOR((ROUND(96*(AC26+Y48-Y42),0)/96)/20,1/24))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76"/>
      <c r="J56" s="93"/>
      <c r="L56" s="472" t="s">
        <v>72</v>
      </c>
      <c r="M56" s="473"/>
      <c r="N56" s="473"/>
      <c r="O56" s="474"/>
      <c r="P56" s="478">
        <f>'P3'!T56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I57" s="110"/>
      <c r="J57" s="93"/>
      <c r="L57" s="475" t="s">
        <v>132</v>
      </c>
      <c r="M57" s="476"/>
      <c r="N57" s="476"/>
      <c r="O57" s="477"/>
      <c r="P57" s="481">
        <f>'P3'!T57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I58" s="110"/>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'P3'!B59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'P3'!B61</f>
        <v>____________________________</v>
      </c>
      <c r="C61" s="93"/>
      <c r="D61" s="93"/>
      <c r="E61" s="93"/>
      <c r="F61" s="93"/>
      <c r="G61" s="93"/>
      <c r="H61" s="250"/>
      <c r="I61" s="250"/>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'P3'!B62</f>
        <v xml:space="preserve">    Employee Signature</v>
      </c>
      <c r="C62" s="96"/>
      <c r="D62" s="96"/>
      <c r="E62" s="96"/>
      <c r="F62" s="96"/>
      <c r="G62" s="96"/>
      <c r="H62" s="96"/>
      <c r="I62" s="260"/>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75" priority="12" stopIfTrue="1" operator="equal">
      <formula>TODAY()</formula>
    </cfRule>
  </conditionalFormatting>
  <conditionalFormatting sqref="O23:V23 G23:M23">
    <cfRule type="cellIs" dxfId="274" priority="11" stopIfTrue="1" operator="equal">
      <formula>TODAY()</formula>
    </cfRule>
  </conditionalFormatting>
  <conditionalFormatting sqref="G12:M13 P12:V13">
    <cfRule type="cellIs" dxfId="273" priority="10" stopIfTrue="1" operator="equal">
      <formula>0</formula>
    </cfRule>
  </conditionalFormatting>
  <conditionalFormatting sqref="G46:N46 P46:W46 Y46 Y44 Y32:Y42 Y30 Y24:Y28">
    <cfRule type="cellIs" dxfId="272" priority="9" stopIfTrue="1" operator="equal">
      <formula>0</formula>
    </cfRule>
  </conditionalFormatting>
  <conditionalFormatting sqref="T53:U53">
    <cfRule type="cellIs" dxfId="271" priority="8" stopIfTrue="1" operator="greaterThan">
      <formula>1</formula>
    </cfRule>
  </conditionalFormatting>
  <conditionalFormatting sqref="G18:M20 P18:V20">
    <cfRule type="cellIs" dxfId="270" priority="7" operator="equal">
      <formula>0</formula>
    </cfRule>
  </conditionalFormatting>
  <conditionalFormatting sqref="G48:M48 P48:V48">
    <cfRule type="expression" dxfId="269" priority="4">
      <formula>G48&lt;&gt;G18</formula>
    </cfRule>
  </conditionalFormatting>
  <conditionalFormatting sqref="P48:V48">
    <cfRule type="expression" dxfId="268" priority="5">
      <formula>P48&lt;&gt;P18</formula>
    </cfRule>
  </conditionalFormatting>
  <conditionalFormatting sqref="G30:L30 M24 N24:N28 N30 P30:U30 V24 P24 W24:W28 W30 W32:W42 P48:W48 G48:N48 G32:G35 N32:N42 G44:N44 P44:W44 G24">
    <cfRule type="cellIs" dxfId="267" priority="6" operator="equal">
      <formula>0</formula>
    </cfRule>
  </conditionalFormatting>
  <conditionalFormatting sqref="H24:L24 Q24:U24">
    <cfRule type="cellIs" dxfId="266" priority="3" operator="equal">
      <formula>0</formula>
    </cfRule>
  </conditionalFormatting>
  <conditionalFormatting sqref="M30">
    <cfRule type="cellIs" dxfId="265" priority="2" operator="equal">
      <formula>0</formula>
    </cfRule>
  </conditionalFormatting>
  <conditionalFormatting sqref="V30">
    <cfRule type="cellIs" dxfId="264" priority="1" operator="equal">
      <formula>0</formula>
    </cfRule>
  </conditionalFormatting>
  <pageMargins left="0.25" right="0.25" top="0.54" bottom="0.25" header="0" footer="0"/>
  <pageSetup scale="89"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42793</v>
      </c>
      <c r="H3" s="120">
        <f t="shared" si="0"/>
        <v>42794</v>
      </c>
      <c r="I3" s="120">
        <f t="shared" si="0"/>
        <v>42795</v>
      </c>
      <c r="J3" s="120">
        <f t="shared" si="0"/>
        <v>42796</v>
      </c>
      <c r="K3" s="120">
        <f t="shared" si="0"/>
        <v>42797</v>
      </c>
      <c r="L3" s="120">
        <f t="shared" si="0"/>
        <v>42798</v>
      </c>
      <c r="M3" s="120">
        <f t="shared" si="0"/>
        <v>42799</v>
      </c>
      <c r="N3" s="120"/>
      <c r="O3" s="120"/>
      <c r="P3" s="120">
        <f t="shared" si="1"/>
        <v>42800</v>
      </c>
      <c r="Q3" s="120">
        <f t="shared" si="1"/>
        <v>42801</v>
      </c>
      <c r="R3" s="120">
        <f t="shared" si="1"/>
        <v>42802</v>
      </c>
      <c r="S3" s="120">
        <f t="shared" si="1"/>
        <v>42803</v>
      </c>
      <c r="T3" s="120">
        <f t="shared" si="1"/>
        <v>42804</v>
      </c>
      <c r="U3" s="120">
        <f t="shared" si="1"/>
        <v>42805</v>
      </c>
      <c r="V3" s="120">
        <f t="shared" si="1"/>
        <v>42806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'P4'!R15+1</f>
        <v>5</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'P4'!L16</f>
        <v>2021</v>
      </c>
      <c r="M16" s="96"/>
      <c r="N16" s="97"/>
      <c r="O16" s="93"/>
      <c r="P16" s="143" t="s">
        <v>16</v>
      </c>
      <c r="Q16" s="113">
        <f>'P4'!Q16+14</f>
        <v>42793</v>
      </c>
      <c r="R16" s="144" t="s">
        <v>17</v>
      </c>
      <c r="S16" s="113">
        <f>Q16+13</f>
        <v>42806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'P4'!G18</f>
        <v>0</v>
      </c>
      <c r="H18" s="326">
        <f>'P4'!H18</f>
        <v>0.33333333333333331</v>
      </c>
      <c r="I18" s="326">
        <f>'P4'!I18</f>
        <v>0.33333333333333331</v>
      </c>
      <c r="J18" s="326">
        <f>'P4'!J18</f>
        <v>0.33333333333333331</v>
      </c>
      <c r="K18" s="326">
        <f>'P4'!K18</f>
        <v>0.33333333333333331</v>
      </c>
      <c r="L18" s="326">
        <f>'P4'!L18</f>
        <v>0.33333333333333331</v>
      </c>
      <c r="M18" s="326">
        <f>'P4'!M18</f>
        <v>0</v>
      </c>
      <c r="N18" s="231">
        <f>SUM(G18:M18)</f>
        <v>1.6666666666666665</v>
      </c>
      <c r="O18" s="79"/>
      <c r="P18" s="326">
        <f>'P4'!P18</f>
        <v>0</v>
      </c>
      <c r="Q18" s="326">
        <f>'P4'!Q18</f>
        <v>0.33333333333333331</v>
      </c>
      <c r="R18" s="326">
        <f>'P4'!R18</f>
        <v>0.33333333333333331</v>
      </c>
      <c r="S18" s="326">
        <f>'P4'!S18</f>
        <v>0.33333333333333331</v>
      </c>
      <c r="T18" s="326">
        <f>'P4'!T18</f>
        <v>0.33333333333333331</v>
      </c>
      <c r="U18" s="326">
        <f>'P4'!U18</f>
        <v>0.33333333333333331</v>
      </c>
      <c r="V18" s="326">
        <f>'P4'!V18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'P4'!G19</f>
        <v>0</v>
      </c>
      <c r="H19" s="326">
        <f>'P4'!H19</f>
        <v>0.3125</v>
      </c>
      <c r="I19" s="326">
        <f>'P4'!I19</f>
        <v>0.3125</v>
      </c>
      <c r="J19" s="326">
        <f>'P4'!J19</f>
        <v>0.3125</v>
      </c>
      <c r="K19" s="326">
        <f>'P4'!K19</f>
        <v>0.3125</v>
      </c>
      <c r="L19" s="326">
        <f>'P4'!L19</f>
        <v>0.3125</v>
      </c>
      <c r="M19" s="326">
        <f>'P4'!M19</f>
        <v>0</v>
      </c>
      <c r="N19" s="87"/>
      <c r="O19" s="83"/>
      <c r="P19" s="326">
        <f>'P4'!P19</f>
        <v>0</v>
      </c>
      <c r="Q19" s="326">
        <f>'P4'!Q19</f>
        <v>0.3125</v>
      </c>
      <c r="R19" s="326">
        <f>'P4'!R19</f>
        <v>0.3125</v>
      </c>
      <c r="S19" s="326">
        <f>'P4'!S19</f>
        <v>0.3125</v>
      </c>
      <c r="T19" s="326">
        <f>'P4'!T19</f>
        <v>0.3125</v>
      </c>
      <c r="U19" s="326">
        <f>'P4'!U19</f>
        <v>0.3125</v>
      </c>
      <c r="V19" s="326">
        <f>'P4'!V19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'P4'!G20</f>
        <v>0</v>
      </c>
      <c r="H20" s="326">
        <f>'P4'!H20</f>
        <v>0.1875</v>
      </c>
      <c r="I20" s="326">
        <f>'P4'!I20</f>
        <v>0.1875</v>
      </c>
      <c r="J20" s="326">
        <f>'P4'!J20</f>
        <v>0.1875</v>
      </c>
      <c r="K20" s="326">
        <f>'P4'!K20</f>
        <v>0.1875</v>
      </c>
      <c r="L20" s="326">
        <f>'P4'!L20</f>
        <v>0.1875</v>
      </c>
      <c r="M20" s="326">
        <f>'P4'!M20</f>
        <v>0</v>
      </c>
      <c r="N20" s="112"/>
      <c r="O20" s="245"/>
      <c r="P20" s="326">
        <f>'P4'!P20</f>
        <v>0</v>
      </c>
      <c r="Q20" s="326">
        <f>'P4'!Q20</f>
        <v>0.1875</v>
      </c>
      <c r="R20" s="326">
        <f>'P4'!R20</f>
        <v>0.1875</v>
      </c>
      <c r="S20" s="326">
        <f>'P4'!S20</f>
        <v>0.1875</v>
      </c>
      <c r="T20" s="326">
        <f>'P4'!T20</f>
        <v>0.1875</v>
      </c>
      <c r="U20" s="326">
        <f>'P4'!U20</f>
        <v>0.1875</v>
      </c>
      <c r="V20" s="326">
        <f>'P4'!V20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42793</v>
      </c>
      <c r="H23" s="175">
        <f t="shared" ref="H23:M23" si="4">G23+1</f>
        <v>42794</v>
      </c>
      <c r="I23" s="175">
        <f t="shared" si="4"/>
        <v>42795</v>
      </c>
      <c r="J23" s="175">
        <f t="shared" si="4"/>
        <v>42796</v>
      </c>
      <c r="K23" s="175">
        <f t="shared" si="4"/>
        <v>42797</v>
      </c>
      <c r="L23" s="175">
        <f t="shared" si="4"/>
        <v>42798</v>
      </c>
      <c r="M23" s="175">
        <f t="shared" si="4"/>
        <v>42799</v>
      </c>
      <c r="N23" s="176"/>
      <c r="O23" s="84"/>
      <c r="P23" s="175">
        <f>M23+1</f>
        <v>42800</v>
      </c>
      <c r="Q23" s="175">
        <f t="shared" ref="Q23:V23" si="5">P23+1</f>
        <v>42801</v>
      </c>
      <c r="R23" s="175">
        <f t="shared" si="5"/>
        <v>42802</v>
      </c>
      <c r="S23" s="175">
        <f t="shared" si="5"/>
        <v>42803</v>
      </c>
      <c r="T23" s="175">
        <f t="shared" si="5"/>
        <v>42804</v>
      </c>
      <c r="U23" s="175">
        <f t="shared" si="5"/>
        <v>42805</v>
      </c>
      <c r="V23" s="175">
        <f t="shared" si="5"/>
        <v>42806</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'P4'!AD25</f>
        <v>0.66666666666666663</v>
      </c>
      <c r="AD25" s="229">
        <f>MOD(ROUND(96*(AC25+Y48-Y42),0)/96,Instructions!C14)</f>
        <v>0.66666666666666663</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'P4'!AD26</f>
        <v>0.66666666666666663</v>
      </c>
      <c r="AD26" s="229">
        <f>MOD(ROUND(96*(AC26+Y48-Y42),0)/96,20/24)</f>
        <v>0.66666666666666663</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0.83333333333333326</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0.83333333333333326</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'P4'!AC37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'P4'!T51</f>
        <v>0.66666666666666663</v>
      </c>
      <c r="Q51" s="505"/>
      <c r="R51" s="207">
        <f>+Y54*AC38</f>
        <v>0.16666666666666666</v>
      </c>
      <c r="S51" s="207">
        <f>Y33+Y51</f>
        <v>0</v>
      </c>
      <c r="T51" s="494">
        <f t="shared" ref="T51:T56" si="19">P51+R51-S51</f>
        <v>0.83333333333333326</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'P4'!T52</f>
        <v>0.66666666666666663</v>
      </c>
      <c r="Q52" s="493"/>
      <c r="R52" s="208">
        <f>+Y55*AC38</f>
        <v>0.16666666666666666</v>
      </c>
      <c r="S52" s="207">
        <f>Y34+Y35</f>
        <v>0</v>
      </c>
      <c r="T52" s="478">
        <f t="shared" si="19"/>
        <v>0.83333333333333326</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MIN(Instructions!$C$7,'P4'!T53)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'P4'!T54</f>
        <v>0</v>
      </c>
      <c r="Q54" s="493"/>
      <c r="R54" s="208">
        <f>Y27</f>
        <v>0</v>
      </c>
      <c r="S54" s="208">
        <f>Y36</f>
        <v>0</v>
      </c>
      <c r="T54" s="478">
        <f t="shared" si="19"/>
        <v>0</v>
      </c>
      <c r="U54" s="480"/>
      <c r="V54" s="93"/>
      <c r="W54" s="247" t="s">
        <v>123</v>
      </c>
      <c r="X54" s="76"/>
      <c r="Y54" s="257">
        <f>IF(Instructions!A14=0,'P4'!Y54,FLOOR((ROUND(96*(AC25+Y48-Y42),0)/96)/Instructions!C14,1)/24)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'P4'!T55</f>
        <v>0</v>
      </c>
      <c r="Q55" s="493"/>
      <c r="R55" s="208">
        <f>Y28</f>
        <v>0</v>
      </c>
      <c r="S55" s="208">
        <f>Y37</f>
        <v>0</v>
      </c>
      <c r="T55" s="478">
        <f t="shared" si="19"/>
        <v>0</v>
      </c>
      <c r="U55" s="480"/>
      <c r="V55" s="93"/>
      <c r="W55" s="247" t="s">
        <v>124</v>
      </c>
      <c r="X55" s="76"/>
      <c r="Y55" s="257">
        <f>IF(Instructions!A14=0,'P4'!Y55,FLOOR((ROUND(96*(AC26+Y48-Y42),0)/96)/20,1/24))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'P4'!T56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'P4'!T57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'P4'!B59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'P4'!B61</f>
        <v>____________________________</v>
      </c>
      <c r="C61" s="93"/>
      <c r="D61" s="93"/>
      <c r="E61" s="93"/>
      <c r="F61" s="93"/>
      <c r="G61" s="93"/>
      <c r="H61" s="250"/>
      <c r="I61" s="250">
        <f>'P4'!I61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'P4'!B62</f>
        <v xml:space="preserve">    Employee Signature</v>
      </c>
      <c r="C62" s="96"/>
      <c r="D62" s="96"/>
      <c r="E62" s="96"/>
      <c r="F62" s="96"/>
      <c r="G62" s="96"/>
      <c r="H62" s="96"/>
      <c r="I62" s="260">
        <f>'P4'!I62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63" priority="12" stopIfTrue="1" operator="equal">
      <formula>TODAY()</formula>
    </cfRule>
  </conditionalFormatting>
  <conditionalFormatting sqref="O23:V23 G23:M23">
    <cfRule type="cellIs" dxfId="262" priority="11" stopIfTrue="1" operator="equal">
      <formula>TODAY()</formula>
    </cfRule>
  </conditionalFormatting>
  <conditionalFormatting sqref="G12:M13 P12:V13">
    <cfRule type="cellIs" dxfId="261" priority="10" stopIfTrue="1" operator="equal">
      <formula>0</formula>
    </cfRule>
  </conditionalFormatting>
  <conditionalFormatting sqref="G46:N46 P46:W46 Y46 Y44 Y32:Y42 Y30 Y24:Y28">
    <cfRule type="cellIs" dxfId="260" priority="9" stopIfTrue="1" operator="equal">
      <formula>0</formula>
    </cfRule>
  </conditionalFormatting>
  <conditionalFormatting sqref="T53:U53">
    <cfRule type="cellIs" dxfId="259" priority="8" stopIfTrue="1" operator="greaterThan">
      <formula>1</formula>
    </cfRule>
  </conditionalFormatting>
  <conditionalFormatting sqref="G18:M20 P18:V20">
    <cfRule type="cellIs" dxfId="258" priority="7" operator="equal">
      <formula>0</formula>
    </cfRule>
  </conditionalFormatting>
  <conditionalFormatting sqref="G48:M48 P48:V48">
    <cfRule type="expression" dxfId="257" priority="4">
      <formula>G48&lt;&gt;G18</formula>
    </cfRule>
  </conditionalFormatting>
  <conditionalFormatting sqref="P48:V48">
    <cfRule type="expression" dxfId="256" priority="5">
      <formula>P48&lt;&gt;P18</formula>
    </cfRule>
  </conditionalFormatting>
  <conditionalFormatting sqref="G30:L30 M24 N24:N28 N30 P30:U30 V24 P24 W24:W28 W30 W32:W42 P48:W48 G48:N48 G32:G35 N32:N42 G44:N44 P44:W44 G24">
    <cfRule type="cellIs" dxfId="255" priority="6" operator="equal">
      <formula>0</formula>
    </cfRule>
  </conditionalFormatting>
  <conditionalFormatting sqref="H24:L24 Q24:U24">
    <cfRule type="cellIs" dxfId="254" priority="3" operator="equal">
      <formula>0</formula>
    </cfRule>
  </conditionalFormatting>
  <conditionalFormatting sqref="M30">
    <cfRule type="cellIs" dxfId="253" priority="2" operator="equal">
      <formula>0</formula>
    </cfRule>
  </conditionalFormatting>
  <conditionalFormatting sqref="V30">
    <cfRule type="cellIs" dxfId="252" priority="1" operator="equal">
      <formula>0</formula>
    </cfRule>
  </conditionalFormatting>
  <pageMargins left="0.25" right="0.25" top="0.54" bottom="0.25" header="0" footer="0"/>
  <pageSetup scale="89"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42807</v>
      </c>
      <c r="H3" s="120">
        <f t="shared" si="0"/>
        <v>42808</v>
      </c>
      <c r="I3" s="120">
        <f t="shared" si="0"/>
        <v>42809</v>
      </c>
      <c r="J3" s="120">
        <f t="shared" si="0"/>
        <v>42810</v>
      </c>
      <c r="K3" s="120">
        <f t="shared" si="0"/>
        <v>42811</v>
      </c>
      <c r="L3" s="120">
        <f t="shared" si="0"/>
        <v>42812</v>
      </c>
      <c r="M3" s="120">
        <f t="shared" si="0"/>
        <v>42813</v>
      </c>
      <c r="N3" s="120"/>
      <c r="O3" s="120"/>
      <c r="P3" s="120">
        <f t="shared" si="1"/>
        <v>42814</v>
      </c>
      <c r="Q3" s="120">
        <f t="shared" si="1"/>
        <v>42815</v>
      </c>
      <c r="R3" s="120">
        <f t="shared" si="1"/>
        <v>42816</v>
      </c>
      <c r="S3" s="120">
        <f t="shared" si="1"/>
        <v>42817</v>
      </c>
      <c r="T3" s="120">
        <f t="shared" si="1"/>
        <v>42818</v>
      </c>
      <c r="U3" s="120">
        <f t="shared" si="1"/>
        <v>42819</v>
      </c>
      <c r="V3" s="120">
        <f t="shared" si="1"/>
        <v>42820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'P5'!R15+1</f>
        <v>6</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'P5'!L16</f>
        <v>2021</v>
      </c>
      <c r="M16" s="96"/>
      <c r="N16" s="97"/>
      <c r="O16" s="93"/>
      <c r="P16" s="143" t="s">
        <v>16</v>
      </c>
      <c r="Q16" s="113">
        <f>'P5'!Q16+14</f>
        <v>42807</v>
      </c>
      <c r="R16" s="144" t="s">
        <v>17</v>
      </c>
      <c r="S16" s="113">
        <f>Q16+13</f>
        <v>42820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'P5'!G18</f>
        <v>0</v>
      </c>
      <c r="H18" s="326">
        <f>'P5'!H18</f>
        <v>0.33333333333333331</v>
      </c>
      <c r="I18" s="326">
        <f>'P5'!I18</f>
        <v>0.33333333333333331</v>
      </c>
      <c r="J18" s="326">
        <f>'P5'!J18</f>
        <v>0.33333333333333331</v>
      </c>
      <c r="K18" s="326">
        <f>'P5'!K18</f>
        <v>0.33333333333333331</v>
      </c>
      <c r="L18" s="326">
        <f>'P5'!L18</f>
        <v>0.33333333333333331</v>
      </c>
      <c r="M18" s="326">
        <f>'P5'!M18</f>
        <v>0</v>
      </c>
      <c r="N18" s="231">
        <f>SUM(G18:M18)</f>
        <v>1.6666666666666665</v>
      </c>
      <c r="O18" s="79"/>
      <c r="P18" s="326">
        <f>'P5'!P18</f>
        <v>0</v>
      </c>
      <c r="Q18" s="326">
        <f>'P5'!Q18</f>
        <v>0.33333333333333331</v>
      </c>
      <c r="R18" s="326">
        <f>'P5'!R18</f>
        <v>0.33333333333333331</v>
      </c>
      <c r="S18" s="326">
        <f>'P5'!S18</f>
        <v>0.33333333333333331</v>
      </c>
      <c r="T18" s="326">
        <f>'P5'!T18</f>
        <v>0.33333333333333331</v>
      </c>
      <c r="U18" s="326">
        <f>'P5'!U18</f>
        <v>0.33333333333333331</v>
      </c>
      <c r="V18" s="326">
        <f>'P5'!V18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'P5'!G19</f>
        <v>0</v>
      </c>
      <c r="H19" s="326">
        <f>'P5'!H19</f>
        <v>0.3125</v>
      </c>
      <c r="I19" s="326">
        <f>'P5'!I19</f>
        <v>0.3125</v>
      </c>
      <c r="J19" s="326">
        <f>'P5'!J19</f>
        <v>0.3125</v>
      </c>
      <c r="K19" s="326">
        <f>'P5'!K19</f>
        <v>0.3125</v>
      </c>
      <c r="L19" s="326">
        <f>'P5'!L19</f>
        <v>0.3125</v>
      </c>
      <c r="M19" s="326">
        <f>'P5'!M19</f>
        <v>0</v>
      </c>
      <c r="N19" s="87"/>
      <c r="O19" s="83"/>
      <c r="P19" s="326">
        <f>'P5'!P19</f>
        <v>0</v>
      </c>
      <c r="Q19" s="326">
        <f>'P5'!Q19</f>
        <v>0.3125</v>
      </c>
      <c r="R19" s="326">
        <f>'P5'!R19</f>
        <v>0.3125</v>
      </c>
      <c r="S19" s="326">
        <f>'P5'!S19</f>
        <v>0.3125</v>
      </c>
      <c r="T19" s="326">
        <f>'P5'!T19</f>
        <v>0.3125</v>
      </c>
      <c r="U19" s="326">
        <f>'P5'!U19</f>
        <v>0.3125</v>
      </c>
      <c r="V19" s="326">
        <f>'P5'!V19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'P5'!G20</f>
        <v>0</v>
      </c>
      <c r="H20" s="326">
        <f>'P5'!H20</f>
        <v>0.1875</v>
      </c>
      <c r="I20" s="326">
        <f>'P5'!I20</f>
        <v>0.1875</v>
      </c>
      <c r="J20" s="326">
        <f>'P5'!J20</f>
        <v>0.1875</v>
      </c>
      <c r="K20" s="326">
        <f>'P5'!K20</f>
        <v>0.1875</v>
      </c>
      <c r="L20" s="326">
        <f>'P5'!L20</f>
        <v>0.1875</v>
      </c>
      <c r="M20" s="326">
        <f>'P5'!M20</f>
        <v>0</v>
      </c>
      <c r="N20" s="112"/>
      <c r="O20" s="245"/>
      <c r="P20" s="326">
        <f>'P5'!P20</f>
        <v>0</v>
      </c>
      <c r="Q20" s="326">
        <f>'P5'!Q20</f>
        <v>0.1875</v>
      </c>
      <c r="R20" s="326">
        <f>'P5'!R20</f>
        <v>0.1875</v>
      </c>
      <c r="S20" s="326">
        <f>'P5'!S20</f>
        <v>0.1875</v>
      </c>
      <c r="T20" s="326">
        <f>'P5'!T20</f>
        <v>0.1875</v>
      </c>
      <c r="U20" s="326">
        <f>'P5'!U20</f>
        <v>0.1875</v>
      </c>
      <c r="V20" s="326">
        <f>'P5'!V20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42807</v>
      </c>
      <c r="H23" s="175">
        <f t="shared" ref="H23:M23" si="4">G23+1</f>
        <v>42808</v>
      </c>
      <c r="I23" s="175">
        <f t="shared" si="4"/>
        <v>42809</v>
      </c>
      <c r="J23" s="175">
        <f t="shared" si="4"/>
        <v>42810</v>
      </c>
      <c r="K23" s="175">
        <f t="shared" si="4"/>
        <v>42811</v>
      </c>
      <c r="L23" s="175">
        <f t="shared" si="4"/>
        <v>42812</v>
      </c>
      <c r="M23" s="175">
        <f t="shared" si="4"/>
        <v>42813</v>
      </c>
      <c r="N23" s="176"/>
      <c r="O23" s="84"/>
      <c r="P23" s="175">
        <f>M23+1</f>
        <v>42814</v>
      </c>
      <c r="Q23" s="175">
        <f t="shared" ref="Q23:V23" si="5">P23+1</f>
        <v>42815</v>
      </c>
      <c r="R23" s="175">
        <f t="shared" si="5"/>
        <v>42816</v>
      </c>
      <c r="S23" s="175">
        <f t="shared" si="5"/>
        <v>42817</v>
      </c>
      <c r="T23" s="175">
        <f t="shared" si="5"/>
        <v>42818</v>
      </c>
      <c r="U23" s="175">
        <f t="shared" si="5"/>
        <v>42819</v>
      </c>
      <c r="V23" s="175">
        <f t="shared" si="5"/>
        <v>42820</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'P5'!AD25</f>
        <v>0.66666666666666663</v>
      </c>
      <c r="AD25" s="229">
        <f>MOD(ROUND(96*(AC25+Y48-Y42),0)/96,Instructions!C14)</f>
        <v>0.66666666666666663</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'P5'!AD26</f>
        <v>0.66666666666666663</v>
      </c>
      <c r="AD26" s="229">
        <f>MOD(ROUND(96*(AC26+Y48-Y42),0)/96,20/24)</f>
        <v>0.66666666666666663</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0.99999999999999989</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0.99999999999999989</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'P5'!AC37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'P5'!T51</f>
        <v>0.83333333333333326</v>
      </c>
      <c r="Q51" s="505"/>
      <c r="R51" s="207">
        <f>+Y54*AC38</f>
        <v>0.16666666666666666</v>
      </c>
      <c r="S51" s="207">
        <f>Y33+Y51</f>
        <v>0</v>
      </c>
      <c r="T51" s="494">
        <f t="shared" ref="T51:T56" si="19">P51+R51-S51</f>
        <v>0.99999999999999989</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'P5'!T52</f>
        <v>0.83333333333333326</v>
      </c>
      <c r="Q52" s="493"/>
      <c r="R52" s="208">
        <f>+Y55*AC38</f>
        <v>0.16666666666666666</v>
      </c>
      <c r="S52" s="207">
        <f>Y34+Y35</f>
        <v>0</v>
      </c>
      <c r="T52" s="478">
        <f t="shared" si="19"/>
        <v>0.99999999999999989</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MIN(Instructions!$C$7,'P5'!T53)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'P5'!T54</f>
        <v>0</v>
      </c>
      <c r="Q54" s="493"/>
      <c r="R54" s="208">
        <f>Y27</f>
        <v>0</v>
      </c>
      <c r="S54" s="208">
        <f>Y36</f>
        <v>0</v>
      </c>
      <c r="T54" s="478">
        <f t="shared" si="19"/>
        <v>0</v>
      </c>
      <c r="U54" s="480"/>
      <c r="V54" s="93"/>
      <c r="W54" s="247" t="s">
        <v>123</v>
      </c>
      <c r="X54" s="76"/>
      <c r="Y54" s="257">
        <f>IF(Instructions!A14=0,'P5'!Y54,FLOOR((ROUND(96*(AC25+Y48-Y42),0)/96)/Instructions!C14,1)/24)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'P5'!T55</f>
        <v>0</v>
      </c>
      <c r="Q55" s="493"/>
      <c r="R55" s="208">
        <f>Y28</f>
        <v>0</v>
      </c>
      <c r="S55" s="208">
        <f>Y37</f>
        <v>0</v>
      </c>
      <c r="T55" s="478">
        <f t="shared" si="19"/>
        <v>0</v>
      </c>
      <c r="U55" s="480"/>
      <c r="V55" s="93"/>
      <c r="W55" s="247" t="s">
        <v>124</v>
      </c>
      <c r="X55" s="76"/>
      <c r="Y55" s="257">
        <f>IF(Instructions!A14=0,'P5'!Y55,FLOOR((ROUND(96*(AC26+Y48-Y42),0)/96)/20,1/24))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'P5'!T56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'P5'!T57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'P5'!B59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'P5'!B61</f>
        <v>____________________________</v>
      </c>
      <c r="C61" s="93"/>
      <c r="D61" s="93"/>
      <c r="E61" s="93"/>
      <c r="F61" s="93"/>
      <c r="G61" s="93"/>
      <c r="H61" s="250"/>
      <c r="I61" s="250">
        <f>'P5'!I61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'P5'!B62</f>
        <v xml:space="preserve">    Employee Signature</v>
      </c>
      <c r="C62" s="96"/>
      <c r="D62" s="96"/>
      <c r="E62" s="96"/>
      <c r="F62" s="96"/>
      <c r="G62" s="96"/>
      <c r="H62" s="96"/>
      <c r="I62" s="260">
        <f>'P5'!I62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51" priority="12" stopIfTrue="1" operator="equal">
      <formula>TODAY()</formula>
    </cfRule>
  </conditionalFormatting>
  <conditionalFormatting sqref="O23:V23 G23:M23">
    <cfRule type="cellIs" dxfId="250" priority="11" stopIfTrue="1" operator="equal">
      <formula>TODAY()</formula>
    </cfRule>
  </conditionalFormatting>
  <conditionalFormatting sqref="G12:M13 P12:V13">
    <cfRule type="cellIs" dxfId="249" priority="10" stopIfTrue="1" operator="equal">
      <formula>0</formula>
    </cfRule>
  </conditionalFormatting>
  <conditionalFormatting sqref="G46:N46 P46:W46 Y46 Y44 Y32:Y42 Y30 Y24:Y28">
    <cfRule type="cellIs" dxfId="248" priority="9" stopIfTrue="1" operator="equal">
      <formula>0</formula>
    </cfRule>
  </conditionalFormatting>
  <conditionalFormatting sqref="T53:U53">
    <cfRule type="cellIs" dxfId="247" priority="8" stopIfTrue="1" operator="greaterThan">
      <formula>1</formula>
    </cfRule>
  </conditionalFormatting>
  <conditionalFormatting sqref="G18:M20 P18:V20">
    <cfRule type="cellIs" dxfId="246" priority="7" operator="equal">
      <formula>0</formula>
    </cfRule>
  </conditionalFormatting>
  <conditionalFormatting sqref="G48:M48 P48:V48">
    <cfRule type="expression" dxfId="245" priority="4">
      <formula>G48&lt;&gt;G18</formula>
    </cfRule>
  </conditionalFormatting>
  <conditionalFormatting sqref="P48:V48">
    <cfRule type="expression" dxfId="244" priority="5">
      <formula>P48&lt;&gt;P18</formula>
    </cfRule>
  </conditionalFormatting>
  <conditionalFormatting sqref="G30:L30 M24 N24:N28 N30 P30:U30 V24 P24 W24:W28 W30 W32:W42 P48:W48 G48:N48 G32:G35 N32:N42 G44:N44 P44:W44 G24">
    <cfRule type="cellIs" dxfId="243" priority="6" operator="equal">
      <formula>0</formula>
    </cfRule>
  </conditionalFormatting>
  <conditionalFormatting sqref="H24:L24 Q24:U24">
    <cfRule type="cellIs" dxfId="242" priority="3" operator="equal">
      <formula>0</formula>
    </cfRule>
  </conditionalFormatting>
  <conditionalFormatting sqref="M30">
    <cfRule type="cellIs" dxfId="241" priority="2" operator="equal">
      <formula>0</formula>
    </cfRule>
  </conditionalFormatting>
  <conditionalFormatting sqref="V30">
    <cfRule type="cellIs" dxfId="240" priority="1" operator="equal">
      <formula>0</formula>
    </cfRule>
  </conditionalFormatting>
  <pageMargins left="0.25" right="0.25" top="0.54" bottom="0.25" header="0" footer="0"/>
  <pageSetup scale="89" orientation="landscape"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I65"/>
  <sheetViews>
    <sheetView topLeftCell="A4"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42821</v>
      </c>
      <c r="H3" s="120">
        <f t="shared" si="0"/>
        <v>42822</v>
      </c>
      <c r="I3" s="120">
        <f t="shared" si="0"/>
        <v>42823</v>
      </c>
      <c r="J3" s="120">
        <f t="shared" si="0"/>
        <v>42824</v>
      </c>
      <c r="K3" s="120">
        <f t="shared" si="0"/>
        <v>42825</v>
      </c>
      <c r="L3" s="120">
        <f t="shared" si="0"/>
        <v>42826</v>
      </c>
      <c r="M3" s="120">
        <f t="shared" si="0"/>
        <v>42827</v>
      </c>
      <c r="N3" s="120"/>
      <c r="O3" s="120"/>
      <c r="P3" s="120">
        <f t="shared" si="1"/>
        <v>42828</v>
      </c>
      <c r="Q3" s="120">
        <f t="shared" si="1"/>
        <v>42829</v>
      </c>
      <c r="R3" s="120">
        <f t="shared" si="1"/>
        <v>42830</v>
      </c>
      <c r="S3" s="120">
        <f t="shared" si="1"/>
        <v>42831</v>
      </c>
      <c r="T3" s="120">
        <f t="shared" si="1"/>
        <v>42832</v>
      </c>
      <c r="U3" s="120">
        <f t="shared" si="1"/>
        <v>42833</v>
      </c>
      <c r="V3" s="120">
        <f t="shared" si="1"/>
        <v>42834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'P6'!R15+1</f>
        <v>7</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'P6'!L16</f>
        <v>2021</v>
      </c>
      <c r="M16" s="96"/>
      <c r="N16" s="97"/>
      <c r="O16" s="93"/>
      <c r="P16" s="143" t="s">
        <v>16</v>
      </c>
      <c r="Q16" s="113">
        <f>'P6'!Q16+14</f>
        <v>42821</v>
      </c>
      <c r="R16" s="144" t="s">
        <v>17</v>
      </c>
      <c r="S16" s="113">
        <f>Q16+13</f>
        <v>42834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'P6'!G18</f>
        <v>0</v>
      </c>
      <c r="H18" s="326">
        <f>'P6'!H18</f>
        <v>0.33333333333333331</v>
      </c>
      <c r="I18" s="326">
        <f>'P6'!I18</f>
        <v>0.33333333333333331</v>
      </c>
      <c r="J18" s="326">
        <f>'P6'!J18</f>
        <v>0.33333333333333331</v>
      </c>
      <c r="K18" s="326">
        <f>'P6'!K18</f>
        <v>0.33333333333333331</v>
      </c>
      <c r="L18" s="326">
        <f>'P6'!L18</f>
        <v>0.33333333333333331</v>
      </c>
      <c r="M18" s="326">
        <f>'P6'!M18</f>
        <v>0</v>
      </c>
      <c r="N18" s="231">
        <f>SUM(G18:M18)</f>
        <v>1.6666666666666665</v>
      </c>
      <c r="O18" s="79"/>
      <c r="P18" s="326">
        <f>'P6'!P18</f>
        <v>0</v>
      </c>
      <c r="Q18" s="326">
        <f>'P6'!Q18</f>
        <v>0.33333333333333331</v>
      </c>
      <c r="R18" s="326">
        <f>'P6'!R18</f>
        <v>0.33333333333333331</v>
      </c>
      <c r="S18" s="326">
        <f>'P6'!S18</f>
        <v>0.33333333333333331</v>
      </c>
      <c r="T18" s="326">
        <f>'P6'!T18</f>
        <v>0.33333333333333331</v>
      </c>
      <c r="U18" s="326">
        <f>'P6'!U18</f>
        <v>0.33333333333333331</v>
      </c>
      <c r="V18" s="326">
        <f>'P6'!V18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'P6'!G19</f>
        <v>0</v>
      </c>
      <c r="H19" s="326">
        <f>'P6'!H19</f>
        <v>0.3125</v>
      </c>
      <c r="I19" s="326">
        <f>'P6'!I19</f>
        <v>0.3125</v>
      </c>
      <c r="J19" s="326">
        <f>'P6'!J19</f>
        <v>0.3125</v>
      </c>
      <c r="K19" s="326">
        <f>'P6'!K19</f>
        <v>0.3125</v>
      </c>
      <c r="L19" s="326">
        <f>'P6'!L19</f>
        <v>0.3125</v>
      </c>
      <c r="M19" s="326">
        <f>'P6'!M19</f>
        <v>0</v>
      </c>
      <c r="N19" s="87"/>
      <c r="O19" s="83"/>
      <c r="P19" s="326">
        <f>'P6'!P19</f>
        <v>0</v>
      </c>
      <c r="Q19" s="326">
        <f>'P6'!Q19</f>
        <v>0.3125</v>
      </c>
      <c r="R19" s="326">
        <f>'P6'!R19</f>
        <v>0.3125</v>
      </c>
      <c r="S19" s="326">
        <f>'P6'!S19</f>
        <v>0.3125</v>
      </c>
      <c r="T19" s="326">
        <f>'P6'!T19</f>
        <v>0.3125</v>
      </c>
      <c r="U19" s="326">
        <f>'P6'!U19</f>
        <v>0.3125</v>
      </c>
      <c r="V19" s="326">
        <f>'P6'!V19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'P6'!G20</f>
        <v>0</v>
      </c>
      <c r="H20" s="326">
        <f>'P6'!H20</f>
        <v>0.1875</v>
      </c>
      <c r="I20" s="326">
        <f>'P6'!I20</f>
        <v>0.1875</v>
      </c>
      <c r="J20" s="326">
        <f>'P6'!J20</f>
        <v>0.1875</v>
      </c>
      <c r="K20" s="326">
        <f>'P6'!K20</f>
        <v>0.1875</v>
      </c>
      <c r="L20" s="326">
        <f>'P6'!L20</f>
        <v>0.1875</v>
      </c>
      <c r="M20" s="326">
        <f>'P6'!M20</f>
        <v>0</v>
      </c>
      <c r="N20" s="112"/>
      <c r="O20" s="245"/>
      <c r="P20" s="326">
        <f>'P6'!P20</f>
        <v>0</v>
      </c>
      <c r="Q20" s="326">
        <f>'P6'!Q20</f>
        <v>0.1875</v>
      </c>
      <c r="R20" s="326">
        <f>'P6'!R20</f>
        <v>0.1875</v>
      </c>
      <c r="S20" s="326">
        <f>'P6'!S20</f>
        <v>0.1875</v>
      </c>
      <c r="T20" s="326">
        <f>'P6'!T20</f>
        <v>0.1875</v>
      </c>
      <c r="U20" s="326">
        <f>'P6'!U20</f>
        <v>0.1875</v>
      </c>
      <c r="V20" s="326">
        <f>'P6'!V20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42821</v>
      </c>
      <c r="H23" s="175">
        <f t="shared" ref="H23:M23" si="4">G23+1</f>
        <v>42822</v>
      </c>
      <c r="I23" s="175">
        <f t="shared" si="4"/>
        <v>42823</v>
      </c>
      <c r="J23" s="175">
        <f t="shared" si="4"/>
        <v>42824</v>
      </c>
      <c r="K23" s="175">
        <f t="shared" si="4"/>
        <v>42825</v>
      </c>
      <c r="L23" s="175">
        <f t="shared" si="4"/>
        <v>42826</v>
      </c>
      <c r="M23" s="175">
        <f t="shared" si="4"/>
        <v>42827</v>
      </c>
      <c r="N23" s="176"/>
      <c r="O23" s="84"/>
      <c r="P23" s="175">
        <f>M23+1</f>
        <v>42828</v>
      </c>
      <c r="Q23" s="175">
        <f t="shared" ref="Q23:V23" si="5">P23+1</f>
        <v>42829</v>
      </c>
      <c r="R23" s="175">
        <f t="shared" si="5"/>
        <v>42830</v>
      </c>
      <c r="S23" s="175">
        <f t="shared" si="5"/>
        <v>42831</v>
      </c>
      <c r="T23" s="175">
        <f t="shared" si="5"/>
        <v>42832</v>
      </c>
      <c r="U23" s="175">
        <f t="shared" si="5"/>
        <v>42833</v>
      </c>
      <c r="V23" s="175">
        <f t="shared" si="5"/>
        <v>42834</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8">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'P6'!AD25</f>
        <v>0.66666666666666663</v>
      </c>
      <c r="AD25" s="229">
        <f>MOD(ROUND(96*(AC25+Y48-Y42),0)/96,Instructions!C14)</f>
        <v>0.66666666666666663</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'P6'!AD26</f>
        <v>0.66666666666666663</v>
      </c>
      <c r="AD26" s="229">
        <f>MOD(ROUND(96*(AC26+Y48-Y42),0)/96,20/24)</f>
        <v>0.66666666666666663</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1.1666666666666665</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1.1666666666666665</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'P6'!AC37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'P6'!T51</f>
        <v>0.99999999999999989</v>
      </c>
      <c r="Q51" s="505"/>
      <c r="R51" s="207">
        <f>+Y54*AC38</f>
        <v>0.16666666666666666</v>
      </c>
      <c r="S51" s="207">
        <f>Y33+Y51</f>
        <v>0</v>
      </c>
      <c r="T51" s="494">
        <f t="shared" ref="T51:T56" si="19">P51+R51-S51</f>
        <v>1.1666666666666665</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'P6'!T52</f>
        <v>0.99999999999999989</v>
      </c>
      <c r="Q52" s="493"/>
      <c r="R52" s="208">
        <f>+Y55*AC38</f>
        <v>0.16666666666666666</v>
      </c>
      <c r="S52" s="207">
        <f>Y34+Y35</f>
        <v>0</v>
      </c>
      <c r="T52" s="478">
        <f t="shared" si="19"/>
        <v>1.1666666666666665</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MIN(Instructions!$C$7,'P6'!T53)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'P6'!T54</f>
        <v>0</v>
      </c>
      <c r="Q54" s="493"/>
      <c r="R54" s="208">
        <f>Y27</f>
        <v>0</v>
      </c>
      <c r="S54" s="208">
        <f>Y36</f>
        <v>0</v>
      </c>
      <c r="T54" s="478">
        <f t="shared" si="19"/>
        <v>0</v>
      </c>
      <c r="U54" s="480"/>
      <c r="V54" s="93"/>
      <c r="W54" s="247" t="s">
        <v>123</v>
      </c>
      <c r="X54" s="76"/>
      <c r="Y54" s="257">
        <f>IF(Instructions!A14=0,'P6'!Y54,FLOOR((ROUND(96*(AC25+Y48-Y42),0)/96)/Instructions!C14,1)/24)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'P6'!T55</f>
        <v>0</v>
      </c>
      <c r="Q55" s="493"/>
      <c r="R55" s="208">
        <f>Y28</f>
        <v>0</v>
      </c>
      <c r="S55" s="208">
        <f>Y37</f>
        <v>0</v>
      </c>
      <c r="T55" s="478">
        <f t="shared" si="19"/>
        <v>0</v>
      </c>
      <c r="U55" s="480"/>
      <c r="V55" s="93"/>
      <c r="W55" s="247" t="s">
        <v>124</v>
      </c>
      <c r="X55" s="76"/>
      <c r="Y55" s="257">
        <f>IF(Instructions!A14=0,'P6'!Y55,FLOOR((ROUND(96*(AC26+Y48-Y42),0)/96)/20,1/24))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'P6'!T56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'P6'!T57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'P6'!B59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'P6'!B61</f>
        <v>____________________________</v>
      </c>
      <c r="C61" s="93"/>
      <c r="D61" s="93"/>
      <c r="E61" s="93"/>
      <c r="F61" s="93"/>
      <c r="G61" s="93"/>
      <c r="H61" s="250"/>
      <c r="I61" s="250">
        <f>'P6'!I61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'P6'!B62</f>
        <v xml:space="preserve">    Employee Signature</v>
      </c>
      <c r="C62" s="96"/>
      <c r="D62" s="96"/>
      <c r="E62" s="96"/>
      <c r="F62" s="96"/>
      <c r="G62" s="96"/>
      <c r="H62" s="96"/>
      <c r="I62" s="260">
        <f>'P6'!I62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39" priority="12" stopIfTrue="1" operator="equal">
      <formula>TODAY()</formula>
    </cfRule>
  </conditionalFormatting>
  <conditionalFormatting sqref="O23:V23 G23:M23">
    <cfRule type="cellIs" dxfId="238" priority="11" stopIfTrue="1" operator="equal">
      <formula>TODAY()</formula>
    </cfRule>
  </conditionalFormatting>
  <conditionalFormatting sqref="G12:M13 P12:V13">
    <cfRule type="cellIs" dxfId="237" priority="10" stopIfTrue="1" operator="equal">
      <formula>0</formula>
    </cfRule>
  </conditionalFormatting>
  <conditionalFormatting sqref="G46:N46 P46:W46 Y46 Y44 Y32:Y42 Y30 Y24:Y28">
    <cfRule type="cellIs" dxfId="236" priority="9" stopIfTrue="1" operator="equal">
      <formula>0</formula>
    </cfRule>
  </conditionalFormatting>
  <conditionalFormatting sqref="T53:U53">
    <cfRule type="cellIs" dxfId="235" priority="8" stopIfTrue="1" operator="greaterThan">
      <formula>1</formula>
    </cfRule>
  </conditionalFormatting>
  <conditionalFormatting sqref="G18:M20 P18:V20">
    <cfRule type="cellIs" dxfId="234" priority="7" operator="equal">
      <formula>0</formula>
    </cfRule>
  </conditionalFormatting>
  <conditionalFormatting sqref="G48:M48 P48:V48">
    <cfRule type="expression" dxfId="233" priority="4">
      <formula>G48&lt;&gt;G18</formula>
    </cfRule>
  </conditionalFormatting>
  <conditionalFormatting sqref="P48:V48">
    <cfRule type="expression" dxfId="232" priority="5">
      <formula>P48&lt;&gt;P18</formula>
    </cfRule>
  </conditionalFormatting>
  <conditionalFormatting sqref="G30:L30 M24 N24:N28 N30 P30:U30 V24 P24 W24:W28 W30 W32:W42 P48:W48 G48:N48 G32:G35 N32:N42 G44:N44 P44:W44 G24">
    <cfRule type="cellIs" dxfId="231" priority="6" operator="equal">
      <formula>0</formula>
    </cfRule>
  </conditionalFormatting>
  <conditionalFormatting sqref="Q24:U24 H24:L24">
    <cfRule type="cellIs" dxfId="230" priority="3" operator="equal">
      <formula>0</formula>
    </cfRule>
  </conditionalFormatting>
  <conditionalFormatting sqref="M30">
    <cfRule type="cellIs" dxfId="229" priority="2" operator="equal">
      <formula>0</formula>
    </cfRule>
  </conditionalFormatting>
  <conditionalFormatting sqref="V30">
    <cfRule type="cellIs" dxfId="228" priority="1" operator="equal">
      <formula>0</formula>
    </cfRule>
  </conditionalFormatting>
  <pageMargins left="0.25" right="0.25" top="0.54" bottom="0.25" header="0" footer="0"/>
  <pageSetup scale="89"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42835</v>
      </c>
      <c r="H3" s="120">
        <f t="shared" si="0"/>
        <v>42836</v>
      </c>
      <c r="I3" s="120">
        <f t="shared" si="0"/>
        <v>42837</v>
      </c>
      <c r="J3" s="120">
        <f t="shared" si="0"/>
        <v>42838</v>
      </c>
      <c r="K3" s="120">
        <f t="shared" si="0"/>
        <v>42839</v>
      </c>
      <c r="L3" s="120">
        <f t="shared" si="0"/>
        <v>42840</v>
      </c>
      <c r="M3" s="120">
        <f t="shared" si="0"/>
        <v>42841</v>
      </c>
      <c r="N3" s="120"/>
      <c r="O3" s="120"/>
      <c r="P3" s="120">
        <f t="shared" si="1"/>
        <v>42842</v>
      </c>
      <c r="Q3" s="120">
        <f t="shared" si="1"/>
        <v>42843</v>
      </c>
      <c r="R3" s="120">
        <f t="shared" si="1"/>
        <v>42844</v>
      </c>
      <c r="S3" s="120">
        <f t="shared" si="1"/>
        <v>42845</v>
      </c>
      <c r="T3" s="120">
        <f t="shared" si="1"/>
        <v>42846</v>
      </c>
      <c r="U3" s="120">
        <f t="shared" si="1"/>
        <v>42847</v>
      </c>
      <c r="V3" s="120">
        <f t="shared" si="1"/>
        <v>42848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'P7'!R15+1</f>
        <v>8</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'P7'!L16</f>
        <v>2021</v>
      </c>
      <c r="M16" s="96"/>
      <c r="N16" s="97"/>
      <c r="O16" s="93"/>
      <c r="P16" s="143" t="s">
        <v>16</v>
      </c>
      <c r="Q16" s="113">
        <f>'P7'!Q16+14</f>
        <v>42835</v>
      </c>
      <c r="R16" s="144" t="s">
        <v>17</v>
      </c>
      <c r="S16" s="113">
        <f>Q16+13</f>
        <v>42848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'P7'!G18</f>
        <v>0</v>
      </c>
      <c r="H18" s="326">
        <f>'P7'!H18</f>
        <v>0.33333333333333331</v>
      </c>
      <c r="I18" s="326">
        <f>'P7'!I18</f>
        <v>0.33333333333333331</v>
      </c>
      <c r="J18" s="326">
        <f>'P7'!J18</f>
        <v>0.33333333333333331</v>
      </c>
      <c r="K18" s="326">
        <f>'P7'!K18</f>
        <v>0.33333333333333331</v>
      </c>
      <c r="L18" s="326">
        <f>'P7'!L18</f>
        <v>0.33333333333333331</v>
      </c>
      <c r="M18" s="326">
        <f>'P7'!M18</f>
        <v>0</v>
      </c>
      <c r="N18" s="231">
        <f>SUM(G18:M18)</f>
        <v>1.6666666666666665</v>
      </c>
      <c r="O18" s="79"/>
      <c r="P18" s="326">
        <f>'P7'!P18</f>
        <v>0</v>
      </c>
      <c r="Q18" s="326">
        <f>'P7'!Q18</f>
        <v>0.33333333333333331</v>
      </c>
      <c r="R18" s="326">
        <f>'P7'!R18</f>
        <v>0.33333333333333331</v>
      </c>
      <c r="S18" s="326">
        <f>'P7'!S18</f>
        <v>0.33333333333333331</v>
      </c>
      <c r="T18" s="326">
        <f>'P7'!T18</f>
        <v>0.33333333333333331</v>
      </c>
      <c r="U18" s="326">
        <f>'P7'!U18</f>
        <v>0.33333333333333331</v>
      </c>
      <c r="V18" s="326">
        <f>'P7'!V18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'P7'!G19</f>
        <v>0</v>
      </c>
      <c r="H19" s="326">
        <f>'P7'!H19</f>
        <v>0.3125</v>
      </c>
      <c r="I19" s="326">
        <f>'P7'!I19</f>
        <v>0.3125</v>
      </c>
      <c r="J19" s="326">
        <f>'P7'!J19</f>
        <v>0.3125</v>
      </c>
      <c r="K19" s="326">
        <f>'P7'!K19</f>
        <v>0.3125</v>
      </c>
      <c r="L19" s="326">
        <f>'P7'!L19</f>
        <v>0.3125</v>
      </c>
      <c r="M19" s="326">
        <f>'P7'!M19</f>
        <v>0</v>
      </c>
      <c r="N19" s="87"/>
      <c r="O19" s="83"/>
      <c r="P19" s="326">
        <f>'P7'!P19</f>
        <v>0</v>
      </c>
      <c r="Q19" s="326">
        <f>'P7'!Q19</f>
        <v>0.3125</v>
      </c>
      <c r="R19" s="326">
        <f>'P7'!R19</f>
        <v>0.3125</v>
      </c>
      <c r="S19" s="326">
        <f>'P7'!S19</f>
        <v>0.3125</v>
      </c>
      <c r="T19" s="326">
        <f>'P7'!T19</f>
        <v>0.3125</v>
      </c>
      <c r="U19" s="326">
        <f>'P7'!U19</f>
        <v>0.3125</v>
      </c>
      <c r="V19" s="326">
        <f>'P7'!V19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'P7'!G20</f>
        <v>0</v>
      </c>
      <c r="H20" s="326">
        <f>'P7'!H20</f>
        <v>0.1875</v>
      </c>
      <c r="I20" s="326">
        <f>'P7'!I20</f>
        <v>0.1875</v>
      </c>
      <c r="J20" s="326">
        <f>'P7'!J20</f>
        <v>0.1875</v>
      </c>
      <c r="K20" s="326">
        <f>'P7'!K20</f>
        <v>0.1875</v>
      </c>
      <c r="L20" s="326">
        <f>'P7'!L20</f>
        <v>0.1875</v>
      </c>
      <c r="M20" s="326">
        <f>'P7'!M20</f>
        <v>0</v>
      </c>
      <c r="N20" s="112"/>
      <c r="O20" s="245"/>
      <c r="P20" s="326">
        <f>'P7'!P20</f>
        <v>0</v>
      </c>
      <c r="Q20" s="326">
        <f>'P7'!Q20</f>
        <v>0.1875</v>
      </c>
      <c r="R20" s="326">
        <f>'P7'!R20</f>
        <v>0.1875</v>
      </c>
      <c r="S20" s="326">
        <f>'P7'!S20</f>
        <v>0.1875</v>
      </c>
      <c r="T20" s="326">
        <f>'P7'!T20</f>
        <v>0.1875</v>
      </c>
      <c r="U20" s="326">
        <f>'P7'!U20</f>
        <v>0.1875</v>
      </c>
      <c r="V20" s="326">
        <f>'P7'!V20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42835</v>
      </c>
      <c r="H23" s="175">
        <f t="shared" ref="H23:M23" si="4">G23+1</f>
        <v>42836</v>
      </c>
      <c r="I23" s="175">
        <f t="shared" si="4"/>
        <v>42837</v>
      </c>
      <c r="J23" s="175">
        <f t="shared" si="4"/>
        <v>42838</v>
      </c>
      <c r="K23" s="175">
        <f t="shared" si="4"/>
        <v>42839</v>
      </c>
      <c r="L23" s="175">
        <f t="shared" si="4"/>
        <v>42840</v>
      </c>
      <c r="M23" s="175">
        <f t="shared" si="4"/>
        <v>42841</v>
      </c>
      <c r="N23" s="176"/>
      <c r="O23" s="84"/>
      <c r="P23" s="175">
        <f>M23+1</f>
        <v>42842</v>
      </c>
      <c r="Q23" s="175">
        <f t="shared" ref="Q23:V23" si="5">P23+1</f>
        <v>42843</v>
      </c>
      <c r="R23" s="175">
        <f t="shared" si="5"/>
        <v>42844</v>
      </c>
      <c r="S23" s="175">
        <f t="shared" si="5"/>
        <v>42845</v>
      </c>
      <c r="T23" s="175">
        <f t="shared" si="5"/>
        <v>42846</v>
      </c>
      <c r="U23" s="175">
        <f t="shared" si="5"/>
        <v>42847</v>
      </c>
      <c r="V23" s="175">
        <f t="shared" si="5"/>
        <v>42848</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'P7'!AD25</f>
        <v>0.66666666666666663</v>
      </c>
      <c r="AD25" s="229">
        <f>MOD(ROUND(96*(AC25+Y48-Y42),0)/96,Instructions!C14)</f>
        <v>0.66666666666666663</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'P7'!AD26</f>
        <v>0.66666666666666663</v>
      </c>
      <c r="AD26" s="229">
        <f>MOD(ROUND(96*(AC26+Y48-Y42),0)/96,20/24)</f>
        <v>0.66666666666666663</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1.3333333333333333</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1.3333333333333333</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'P7'!AC37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'P7'!T51</f>
        <v>1.1666666666666665</v>
      </c>
      <c r="Q51" s="505"/>
      <c r="R51" s="207">
        <f>+Y54*AC38</f>
        <v>0.16666666666666666</v>
      </c>
      <c r="S51" s="207">
        <f>Y33+Y51</f>
        <v>0</v>
      </c>
      <c r="T51" s="494">
        <f t="shared" ref="T51:T56" si="19">P51+R51-S51</f>
        <v>1.3333333333333333</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'P7'!T52</f>
        <v>1.1666666666666665</v>
      </c>
      <c r="Q52" s="493"/>
      <c r="R52" s="208">
        <f>+Y55*AC38</f>
        <v>0.16666666666666666</v>
      </c>
      <c r="S52" s="207">
        <f>Y34+Y35</f>
        <v>0</v>
      </c>
      <c r="T52" s="478">
        <f t="shared" si="19"/>
        <v>1.3333333333333333</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MIN(Instructions!$C$7,'P7'!T53)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'P7'!T54</f>
        <v>0</v>
      </c>
      <c r="Q54" s="493"/>
      <c r="R54" s="208">
        <f>Y27</f>
        <v>0</v>
      </c>
      <c r="S54" s="208">
        <f>Y36</f>
        <v>0</v>
      </c>
      <c r="T54" s="478">
        <f t="shared" si="19"/>
        <v>0</v>
      </c>
      <c r="U54" s="480"/>
      <c r="V54" s="93"/>
      <c r="W54" s="247" t="s">
        <v>123</v>
      </c>
      <c r="X54" s="76"/>
      <c r="Y54" s="257">
        <f>IF(Instructions!A14=0,'P7'!Y54,FLOOR((ROUND(96*(AC25+Y48-Y42),0)/96)/Instructions!C14,1)/24)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'P7'!T55</f>
        <v>0</v>
      </c>
      <c r="Q55" s="493"/>
      <c r="R55" s="208">
        <f>Y28</f>
        <v>0</v>
      </c>
      <c r="S55" s="208">
        <f>Y37</f>
        <v>0</v>
      </c>
      <c r="T55" s="478">
        <f t="shared" si="19"/>
        <v>0</v>
      </c>
      <c r="U55" s="480"/>
      <c r="V55" s="93"/>
      <c r="W55" s="247" t="s">
        <v>124</v>
      </c>
      <c r="X55" s="76"/>
      <c r="Y55" s="257">
        <f>IF(Instructions!A14=0,'P7'!Y55,FLOOR((ROUND(96*(AC26+Y48-Y42),0)/96)/20,1/24))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'P7'!T56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'P7'!T57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'P7'!B59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'P7'!B61</f>
        <v>____________________________</v>
      </c>
      <c r="C61" s="93"/>
      <c r="D61" s="93"/>
      <c r="E61" s="93"/>
      <c r="F61" s="93"/>
      <c r="G61" s="93"/>
      <c r="H61" s="250"/>
      <c r="I61" s="250">
        <f>'P7'!I61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'P7'!B62</f>
        <v xml:space="preserve">    Employee Signature</v>
      </c>
      <c r="C62" s="96"/>
      <c r="D62" s="96"/>
      <c r="E62" s="96"/>
      <c r="F62" s="96"/>
      <c r="G62" s="96"/>
      <c r="H62" s="96"/>
      <c r="I62" s="260">
        <f>'P7'!I62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27" priority="12" stopIfTrue="1" operator="equal">
      <formula>TODAY()</formula>
    </cfRule>
  </conditionalFormatting>
  <conditionalFormatting sqref="O23:V23 G23:M23">
    <cfRule type="cellIs" dxfId="226" priority="11" stopIfTrue="1" operator="equal">
      <formula>TODAY()</formula>
    </cfRule>
  </conditionalFormatting>
  <conditionalFormatting sqref="G12:M13 P12:V13">
    <cfRule type="cellIs" dxfId="225" priority="10" stopIfTrue="1" operator="equal">
      <formula>0</formula>
    </cfRule>
  </conditionalFormatting>
  <conditionalFormatting sqref="G46:N46 P46:W46 Y46 Y44 Y32:Y42 Y30 Y24:Y28">
    <cfRule type="cellIs" dxfId="224" priority="9" stopIfTrue="1" operator="equal">
      <formula>0</formula>
    </cfRule>
  </conditionalFormatting>
  <conditionalFormatting sqref="T53:U53">
    <cfRule type="cellIs" dxfId="223" priority="8" stopIfTrue="1" operator="greaterThan">
      <formula>1</formula>
    </cfRule>
  </conditionalFormatting>
  <conditionalFormatting sqref="G18:M20 P18:V20">
    <cfRule type="cellIs" dxfId="222" priority="7" operator="equal">
      <formula>0</formula>
    </cfRule>
  </conditionalFormatting>
  <conditionalFormatting sqref="G48:M48 P48:V48">
    <cfRule type="expression" dxfId="221" priority="4">
      <formula>G48&lt;&gt;G18</formula>
    </cfRule>
  </conditionalFormatting>
  <conditionalFormatting sqref="P48:V48">
    <cfRule type="expression" dxfId="220" priority="5">
      <formula>P48&lt;&gt;P18</formula>
    </cfRule>
  </conditionalFormatting>
  <conditionalFormatting sqref="G30:L30 M24 N24:N28 N30 P30:U30 V24 P24 W24:W28 W30 W32:W42 P48:W48 G48:N48 G32:G35 N32:N42 G44:N44 P44:W44 G24">
    <cfRule type="cellIs" dxfId="219" priority="6" operator="equal">
      <formula>0</formula>
    </cfRule>
  </conditionalFormatting>
  <conditionalFormatting sqref="H24:L24 Q24:U24">
    <cfRule type="cellIs" dxfId="218" priority="3" operator="equal">
      <formula>0</formula>
    </cfRule>
  </conditionalFormatting>
  <conditionalFormatting sqref="M30">
    <cfRule type="cellIs" dxfId="217" priority="2" operator="equal">
      <formula>0</formula>
    </cfRule>
  </conditionalFormatting>
  <conditionalFormatting sqref="V30">
    <cfRule type="cellIs" dxfId="216" priority="1" operator="equal">
      <formula>0</formula>
    </cfRule>
  </conditionalFormatting>
  <pageMargins left="0.25" right="0.25" top="0.54" bottom="0.25" header="0" footer="0"/>
  <pageSetup scale="89" orientation="landscape"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42849</v>
      </c>
      <c r="H3" s="120">
        <f t="shared" si="0"/>
        <v>42850</v>
      </c>
      <c r="I3" s="120">
        <f t="shared" si="0"/>
        <v>42851</v>
      </c>
      <c r="J3" s="120">
        <f t="shared" si="0"/>
        <v>42852</v>
      </c>
      <c r="K3" s="120">
        <f t="shared" si="0"/>
        <v>42853</v>
      </c>
      <c r="L3" s="120">
        <f t="shared" si="0"/>
        <v>42854</v>
      </c>
      <c r="M3" s="120">
        <f t="shared" si="0"/>
        <v>42855</v>
      </c>
      <c r="N3" s="120"/>
      <c r="O3" s="120"/>
      <c r="P3" s="120">
        <f t="shared" si="1"/>
        <v>42856</v>
      </c>
      <c r="Q3" s="120">
        <f t="shared" si="1"/>
        <v>42857</v>
      </c>
      <c r="R3" s="120">
        <f t="shared" si="1"/>
        <v>42858</v>
      </c>
      <c r="S3" s="120">
        <f t="shared" si="1"/>
        <v>42859</v>
      </c>
      <c r="T3" s="120">
        <f t="shared" si="1"/>
        <v>42860</v>
      </c>
      <c r="U3" s="120">
        <f t="shared" si="1"/>
        <v>42861</v>
      </c>
      <c r="V3" s="120">
        <f t="shared" si="1"/>
        <v>42862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'P8'!R15+1</f>
        <v>9</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'P8'!L16</f>
        <v>2021</v>
      </c>
      <c r="M16" s="96"/>
      <c r="N16" s="97"/>
      <c r="O16" s="93"/>
      <c r="P16" s="143" t="s">
        <v>16</v>
      </c>
      <c r="Q16" s="113">
        <f>'P8'!Q16+14</f>
        <v>42849</v>
      </c>
      <c r="R16" s="144" t="s">
        <v>17</v>
      </c>
      <c r="S16" s="113">
        <f>Q16+13</f>
        <v>42862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'P8'!G18</f>
        <v>0</v>
      </c>
      <c r="H18" s="326">
        <f>'P8'!H18</f>
        <v>0.33333333333333331</v>
      </c>
      <c r="I18" s="326">
        <f>'P8'!I18</f>
        <v>0.33333333333333331</v>
      </c>
      <c r="J18" s="326">
        <f>'P8'!J18</f>
        <v>0.33333333333333331</v>
      </c>
      <c r="K18" s="326">
        <f>'P8'!K18</f>
        <v>0.33333333333333331</v>
      </c>
      <c r="L18" s="326">
        <f>'P8'!L18</f>
        <v>0.33333333333333331</v>
      </c>
      <c r="M18" s="326">
        <f>'P8'!M18</f>
        <v>0</v>
      </c>
      <c r="N18" s="231">
        <f>SUM(G18:M18)</f>
        <v>1.6666666666666665</v>
      </c>
      <c r="O18" s="79"/>
      <c r="P18" s="326">
        <f>'P8'!P18</f>
        <v>0</v>
      </c>
      <c r="Q18" s="326">
        <f>'P8'!Q18</f>
        <v>0.33333333333333331</v>
      </c>
      <c r="R18" s="326">
        <f>'P8'!R18</f>
        <v>0.33333333333333331</v>
      </c>
      <c r="S18" s="326">
        <f>'P8'!S18</f>
        <v>0.33333333333333331</v>
      </c>
      <c r="T18" s="326">
        <f>'P8'!T18</f>
        <v>0.33333333333333331</v>
      </c>
      <c r="U18" s="326">
        <f>'P8'!U18</f>
        <v>0.33333333333333331</v>
      </c>
      <c r="V18" s="326">
        <f>'P8'!V18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'P8'!G19</f>
        <v>0</v>
      </c>
      <c r="H19" s="326">
        <f>'P8'!H19</f>
        <v>0.3125</v>
      </c>
      <c r="I19" s="326">
        <f>'P8'!I19</f>
        <v>0.3125</v>
      </c>
      <c r="J19" s="326">
        <f>'P8'!J19</f>
        <v>0.3125</v>
      </c>
      <c r="K19" s="326">
        <f>'P8'!K19</f>
        <v>0.3125</v>
      </c>
      <c r="L19" s="326">
        <f>'P8'!L19</f>
        <v>0.3125</v>
      </c>
      <c r="M19" s="326">
        <f>'P8'!M19</f>
        <v>0</v>
      </c>
      <c r="N19" s="87"/>
      <c r="O19" s="83"/>
      <c r="P19" s="326">
        <f>'P8'!P19</f>
        <v>0</v>
      </c>
      <c r="Q19" s="326">
        <f>'P8'!Q19</f>
        <v>0.3125</v>
      </c>
      <c r="R19" s="326">
        <f>'P8'!R19</f>
        <v>0.3125</v>
      </c>
      <c r="S19" s="326">
        <f>'P8'!S19</f>
        <v>0.3125</v>
      </c>
      <c r="T19" s="326">
        <f>'P8'!T19</f>
        <v>0.3125</v>
      </c>
      <c r="U19" s="326">
        <f>'P8'!U19</f>
        <v>0.3125</v>
      </c>
      <c r="V19" s="326">
        <f>'P8'!V19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'P8'!G20</f>
        <v>0</v>
      </c>
      <c r="H20" s="326">
        <f>'P8'!H20</f>
        <v>0.1875</v>
      </c>
      <c r="I20" s="326">
        <f>'P8'!I20</f>
        <v>0.1875</v>
      </c>
      <c r="J20" s="326">
        <f>'P8'!J20</f>
        <v>0.1875</v>
      </c>
      <c r="K20" s="326">
        <f>'P8'!K20</f>
        <v>0.1875</v>
      </c>
      <c r="L20" s="326">
        <f>'P8'!L20</f>
        <v>0.1875</v>
      </c>
      <c r="M20" s="326">
        <f>'P8'!M20</f>
        <v>0</v>
      </c>
      <c r="N20" s="112"/>
      <c r="O20" s="245"/>
      <c r="P20" s="326">
        <f>'P8'!P20</f>
        <v>0</v>
      </c>
      <c r="Q20" s="326">
        <f>'P8'!Q20</f>
        <v>0.1875</v>
      </c>
      <c r="R20" s="326">
        <f>'P8'!R20</f>
        <v>0.1875</v>
      </c>
      <c r="S20" s="326">
        <f>'P8'!S20</f>
        <v>0.1875</v>
      </c>
      <c r="T20" s="326">
        <f>'P8'!T20</f>
        <v>0.1875</v>
      </c>
      <c r="U20" s="326">
        <f>'P8'!U20</f>
        <v>0.1875</v>
      </c>
      <c r="V20" s="326">
        <f>'P8'!V20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42849</v>
      </c>
      <c r="H23" s="175">
        <f t="shared" ref="H23:M23" si="4">G23+1</f>
        <v>42850</v>
      </c>
      <c r="I23" s="175">
        <f t="shared" si="4"/>
        <v>42851</v>
      </c>
      <c r="J23" s="175">
        <f t="shared" si="4"/>
        <v>42852</v>
      </c>
      <c r="K23" s="175">
        <f t="shared" si="4"/>
        <v>42853</v>
      </c>
      <c r="L23" s="175">
        <f t="shared" si="4"/>
        <v>42854</v>
      </c>
      <c r="M23" s="175">
        <f t="shared" si="4"/>
        <v>42855</v>
      </c>
      <c r="N23" s="176"/>
      <c r="O23" s="84"/>
      <c r="P23" s="175">
        <f>M23+1</f>
        <v>42856</v>
      </c>
      <c r="Q23" s="175">
        <f t="shared" ref="Q23:V23" si="5">P23+1</f>
        <v>42857</v>
      </c>
      <c r="R23" s="175">
        <f t="shared" si="5"/>
        <v>42858</v>
      </c>
      <c r="S23" s="175">
        <f t="shared" si="5"/>
        <v>42859</v>
      </c>
      <c r="T23" s="175">
        <f t="shared" si="5"/>
        <v>42860</v>
      </c>
      <c r="U23" s="175">
        <f t="shared" si="5"/>
        <v>42861</v>
      </c>
      <c r="V23" s="175">
        <f t="shared" si="5"/>
        <v>42862</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'P8'!AD25</f>
        <v>0.66666666666666663</v>
      </c>
      <c r="AD25" s="229">
        <f>MOD(ROUND(96*(AC25+Y48-Y42),0)/96,Instructions!C14)</f>
        <v>0.66666666666666663</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'P8'!AD26</f>
        <v>0.66666666666666663</v>
      </c>
      <c r="AD26" s="229">
        <f>MOD(ROUND(96*(AC26+Y48-Y42),0)/96,20/24)</f>
        <v>0.66666666666666663</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1.5</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1.5</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'P8'!AC37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'P8'!T51</f>
        <v>1.3333333333333333</v>
      </c>
      <c r="Q51" s="505"/>
      <c r="R51" s="207">
        <f>+Y54*AC38</f>
        <v>0.16666666666666666</v>
      </c>
      <c r="S51" s="207">
        <f>Y33+Y51</f>
        <v>0</v>
      </c>
      <c r="T51" s="494">
        <f t="shared" ref="T51:T56" si="19">P51+R51-S51</f>
        <v>1.5</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'P8'!T52</f>
        <v>1.3333333333333333</v>
      </c>
      <c r="Q52" s="493"/>
      <c r="R52" s="208">
        <f>+Y55*AC38</f>
        <v>0.16666666666666666</v>
      </c>
      <c r="S52" s="207">
        <f>Y34+Y35</f>
        <v>0</v>
      </c>
      <c r="T52" s="478">
        <f t="shared" si="19"/>
        <v>1.5</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MIN(Instructions!$C$7,'P8'!T53)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'P8'!T54</f>
        <v>0</v>
      </c>
      <c r="Q54" s="493"/>
      <c r="R54" s="208">
        <f>Y27</f>
        <v>0</v>
      </c>
      <c r="S54" s="208">
        <f>Y36</f>
        <v>0</v>
      </c>
      <c r="T54" s="478">
        <f t="shared" si="19"/>
        <v>0</v>
      </c>
      <c r="U54" s="480"/>
      <c r="V54" s="93"/>
      <c r="W54" s="247" t="s">
        <v>123</v>
      </c>
      <c r="X54" s="76"/>
      <c r="Y54" s="257">
        <f>IF(Instructions!A14=0,'P8'!Y54,FLOOR((ROUND(96*(AC25+Y48-Y42),0)/96)/Instructions!C14,1)/24)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'P8'!T55</f>
        <v>0</v>
      </c>
      <c r="Q55" s="493"/>
      <c r="R55" s="208">
        <f>Y28</f>
        <v>0</v>
      </c>
      <c r="S55" s="208">
        <f>Y37</f>
        <v>0</v>
      </c>
      <c r="T55" s="478">
        <f t="shared" si="19"/>
        <v>0</v>
      </c>
      <c r="U55" s="480"/>
      <c r="V55" s="93"/>
      <c r="W55" s="247" t="s">
        <v>124</v>
      </c>
      <c r="X55" s="76"/>
      <c r="Y55" s="257">
        <f>IF(Instructions!A14=0,'P8'!Y55,FLOOR((ROUND(96*(AC26+Y48-Y42),0)/96)/20,1/24))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'P8'!T56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'P8'!T57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'P8'!B59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'P8'!B61</f>
        <v>____________________________</v>
      </c>
      <c r="C61" s="93"/>
      <c r="D61" s="93"/>
      <c r="E61" s="93"/>
      <c r="F61" s="93"/>
      <c r="G61" s="93"/>
      <c r="H61" s="250"/>
      <c r="I61" s="250">
        <f>'P8'!I61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'P8'!B62</f>
        <v xml:space="preserve">    Employee Signature</v>
      </c>
      <c r="C62" s="96"/>
      <c r="D62" s="96"/>
      <c r="E62" s="96"/>
      <c r="F62" s="96"/>
      <c r="G62" s="96"/>
      <c r="H62" s="96"/>
      <c r="I62" s="260">
        <f>'P8'!I62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15" priority="12" stopIfTrue="1" operator="equal">
      <formula>TODAY()</formula>
    </cfRule>
  </conditionalFormatting>
  <conditionalFormatting sqref="O23:V23 G23:M23">
    <cfRule type="cellIs" dxfId="214" priority="11" stopIfTrue="1" operator="equal">
      <formula>TODAY()</formula>
    </cfRule>
  </conditionalFormatting>
  <conditionalFormatting sqref="G12:M13 P12:V13">
    <cfRule type="cellIs" dxfId="213" priority="10" stopIfTrue="1" operator="equal">
      <formula>0</formula>
    </cfRule>
  </conditionalFormatting>
  <conditionalFormatting sqref="G46:N46 P46:W46 Y46 Y44 Y32:Y42 Y30 Y24:Y28">
    <cfRule type="cellIs" dxfId="212" priority="9" stopIfTrue="1" operator="equal">
      <formula>0</formula>
    </cfRule>
  </conditionalFormatting>
  <conditionalFormatting sqref="T53:U53">
    <cfRule type="cellIs" dxfId="211" priority="8" stopIfTrue="1" operator="greaterThan">
      <formula>1</formula>
    </cfRule>
  </conditionalFormatting>
  <conditionalFormatting sqref="G18:M20 P18:V20">
    <cfRule type="cellIs" dxfId="210" priority="7" operator="equal">
      <formula>0</formula>
    </cfRule>
  </conditionalFormatting>
  <conditionalFormatting sqref="G48:M48 P48:V48">
    <cfRule type="expression" dxfId="209" priority="4">
      <formula>G48&lt;&gt;G18</formula>
    </cfRule>
  </conditionalFormatting>
  <conditionalFormatting sqref="P48:V48">
    <cfRule type="expression" dxfId="208" priority="5">
      <formula>P48&lt;&gt;P18</formula>
    </cfRule>
  </conditionalFormatting>
  <conditionalFormatting sqref="G30:L30 M24 N24:N28 N30 P30:U30 V24 P24 W24:W28 W30 W32:W42 P48:W48 G48:N48 G32:G35 N32:N42 G44:N44 P44:W44 G24">
    <cfRule type="cellIs" dxfId="207" priority="6" operator="equal">
      <formula>0</formula>
    </cfRule>
  </conditionalFormatting>
  <conditionalFormatting sqref="H24:L24 Q24:U24">
    <cfRule type="cellIs" dxfId="206" priority="3" operator="equal">
      <formula>0</formula>
    </cfRule>
  </conditionalFormatting>
  <conditionalFormatting sqref="M30">
    <cfRule type="cellIs" dxfId="205" priority="2" operator="equal">
      <formula>0</formula>
    </cfRule>
  </conditionalFormatting>
  <conditionalFormatting sqref="V30">
    <cfRule type="cellIs" dxfId="204" priority="1" operator="equal">
      <formula>0</formula>
    </cfRule>
  </conditionalFormatting>
  <pageMargins left="0.25" right="0.25" top="0.54" bottom="0.25" header="0" footer="0"/>
  <pageSetup scale="89"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I65"/>
  <sheetViews>
    <sheetView topLeftCell="A4"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42863</v>
      </c>
      <c r="H3" s="120">
        <f t="shared" si="0"/>
        <v>42864</v>
      </c>
      <c r="I3" s="120">
        <f t="shared" si="0"/>
        <v>42865</v>
      </c>
      <c r="J3" s="120">
        <f t="shared" si="0"/>
        <v>42866</v>
      </c>
      <c r="K3" s="120">
        <f t="shared" si="0"/>
        <v>42867</v>
      </c>
      <c r="L3" s="120">
        <f t="shared" si="0"/>
        <v>42868</v>
      </c>
      <c r="M3" s="120">
        <f t="shared" si="0"/>
        <v>42869</v>
      </c>
      <c r="N3" s="120"/>
      <c r="O3" s="120"/>
      <c r="P3" s="120">
        <f t="shared" si="1"/>
        <v>42870</v>
      </c>
      <c r="Q3" s="120">
        <f t="shared" si="1"/>
        <v>42871</v>
      </c>
      <c r="R3" s="120">
        <f t="shared" si="1"/>
        <v>42872</v>
      </c>
      <c r="S3" s="120">
        <f t="shared" si="1"/>
        <v>42873</v>
      </c>
      <c r="T3" s="120">
        <f t="shared" si="1"/>
        <v>42874</v>
      </c>
      <c r="U3" s="120">
        <f t="shared" si="1"/>
        <v>42875</v>
      </c>
      <c r="V3" s="120">
        <f t="shared" si="1"/>
        <v>42876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'P9'!R15+1</f>
        <v>10</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'P9'!L16</f>
        <v>2021</v>
      </c>
      <c r="M16" s="96"/>
      <c r="N16" s="97"/>
      <c r="O16" s="93"/>
      <c r="P16" s="143" t="s">
        <v>16</v>
      </c>
      <c r="Q16" s="113">
        <f>'P9'!Q16+14</f>
        <v>42863</v>
      </c>
      <c r="R16" s="144" t="s">
        <v>17</v>
      </c>
      <c r="S16" s="113">
        <f>Q16+13</f>
        <v>42876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'P9'!G18</f>
        <v>0</v>
      </c>
      <c r="H18" s="326">
        <f>'P9'!H18</f>
        <v>0.33333333333333331</v>
      </c>
      <c r="I18" s="326">
        <f>'P9'!I18</f>
        <v>0.33333333333333331</v>
      </c>
      <c r="J18" s="326">
        <f>'P9'!J18</f>
        <v>0.33333333333333331</v>
      </c>
      <c r="K18" s="326">
        <f>'P9'!K18</f>
        <v>0.33333333333333331</v>
      </c>
      <c r="L18" s="326">
        <f>'P9'!L18</f>
        <v>0.33333333333333331</v>
      </c>
      <c r="M18" s="326">
        <f>'P9'!M18</f>
        <v>0</v>
      </c>
      <c r="N18" s="231">
        <f>SUM(G18:M18)</f>
        <v>1.6666666666666665</v>
      </c>
      <c r="O18" s="79"/>
      <c r="P18" s="326">
        <f>'P9'!P18</f>
        <v>0</v>
      </c>
      <c r="Q18" s="326">
        <f>'P9'!Q18</f>
        <v>0.33333333333333331</v>
      </c>
      <c r="R18" s="326">
        <f>'P9'!R18</f>
        <v>0.33333333333333331</v>
      </c>
      <c r="S18" s="326">
        <f>'P9'!S18</f>
        <v>0.33333333333333331</v>
      </c>
      <c r="T18" s="326">
        <f>'P9'!T18</f>
        <v>0.33333333333333331</v>
      </c>
      <c r="U18" s="326">
        <f>'P9'!U18</f>
        <v>0.33333333333333331</v>
      </c>
      <c r="V18" s="326">
        <f>'P9'!V18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'P9'!G19</f>
        <v>0</v>
      </c>
      <c r="H19" s="326">
        <f>'P9'!H19</f>
        <v>0.3125</v>
      </c>
      <c r="I19" s="326">
        <f>'P9'!I19</f>
        <v>0.3125</v>
      </c>
      <c r="J19" s="326">
        <f>'P9'!J19</f>
        <v>0.3125</v>
      </c>
      <c r="K19" s="326">
        <f>'P9'!K19</f>
        <v>0.3125</v>
      </c>
      <c r="L19" s="326">
        <f>'P9'!L19</f>
        <v>0.3125</v>
      </c>
      <c r="M19" s="326">
        <f>'P9'!M19</f>
        <v>0</v>
      </c>
      <c r="N19" s="87"/>
      <c r="O19" s="83"/>
      <c r="P19" s="326">
        <f>'P9'!P19</f>
        <v>0</v>
      </c>
      <c r="Q19" s="326">
        <f>'P9'!Q19</f>
        <v>0.3125</v>
      </c>
      <c r="R19" s="326">
        <f>'P9'!R19</f>
        <v>0.3125</v>
      </c>
      <c r="S19" s="326">
        <f>'P9'!S19</f>
        <v>0.3125</v>
      </c>
      <c r="T19" s="326">
        <f>'P9'!T19</f>
        <v>0.3125</v>
      </c>
      <c r="U19" s="326">
        <f>'P9'!U19</f>
        <v>0.3125</v>
      </c>
      <c r="V19" s="326">
        <f>'P9'!V19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'P9'!G20</f>
        <v>0</v>
      </c>
      <c r="H20" s="326">
        <f>'P9'!H20</f>
        <v>0.1875</v>
      </c>
      <c r="I20" s="326">
        <f>'P9'!I20</f>
        <v>0.1875</v>
      </c>
      <c r="J20" s="326">
        <f>'P9'!J20</f>
        <v>0.1875</v>
      </c>
      <c r="K20" s="326">
        <f>'P9'!K20</f>
        <v>0.1875</v>
      </c>
      <c r="L20" s="326">
        <f>'P9'!L20</f>
        <v>0.1875</v>
      </c>
      <c r="M20" s="326">
        <f>'P9'!M20</f>
        <v>0</v>
      </c>
      <c r="N20" s="112"/>
      <c r="O20" s="245"/>
      <c r="P20" s="326">
        <f>'P9'!P20</f>
        <v>0</v>
      </c>
      <c r="Q20" s="326">
        <f>'P9'!Q20</f>
        <v>0.1875</v>
      </c>
      <c r="R20" s="326">
        <f>'P9'!R20</f>
        <v>0.1875</v>
      </c>
      <c r="S20" s="326">
        <f>'P9'!S20</f>
        <v>0.1875</v>
      </c>
      <c r="T20" s="326">
        <f>'P9'!T20</f>
        <v>0.1875</v>
      </c>
      <c r="U20" s="326">
        <f>'P9'!U20</f>
        <v>0.1875</v>
      </c>
      <c r="V20" s="326">
        <f>'P9'!V20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42863</v>
      </c>
      <c r="H23" s="175">
        <f t="shared" ref="H23:M23" si="4">G23+1</f>
        <v>42864</v>
      </c>
      <c r="I23" s="175">
        <f t="shared" si="4"/>
        <v>42865</v>
      </c>
      <c r="J23" s="175">
        <f t="shared" si="4"/>
        <v>42866</v>
      </c>
      <c r="K23" s="175">
        <f t="shared" si="4"/>
        <v>42867</v>
      </c>
      <c r="L23" s="175">
        <f t="shared" si="4"/>
        <v>42868</v>
      </c>
      <c r="M23" s="175">
        <f t="shared" si="4"/>
        <v>42869</v>
      </c>
      <c r="N23" s="176"/>
      <c r="O23" s="84"/>
      <c r="P23" s="175">
        <f>M23+1</f>
        <v>42870</v>
      </c>
      <c r="Q23" s="175">
        <f t="shared" ref="Q23:V23" si="5">P23+1</f>
        <v>42871</v>
      </c>
      <c r="R23" s="175">
        <f t="shared" si="5"/>
        <v>42872</v>
      </c>
      <c r="S23" s="175">
        <f t="shared" si="5"/>
        <v>42873</v>
      </c>
      <c r="T23" s="175">
        <f t="shared" si="5"/>
        <v>42874</v>
      </c>
      <c r="U23" s="175">
        <f t="shared" si="5"/>
        <v>42875</v>
      </c>
      <c r="V23" s="175">
        <f t="shared" si="5"/>
        <v>42876</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'P9'!AD25</f>
        <v>0.66666666666666663</v>
      </c>
      <c r="AD25" s="229">
        <f>MOD(ROUND(96*(AC25+Y48-Y42),0)/96,Instructions!C14)</f>
        <v>0.66666666666666663</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'P9'!AD26</f>
        <v>0.66666666666666663</v>
      </c>
      <c r="AD26" s="229">
        <f>MOD(ROUND(96*(AC26+Y48-Y42),0)/96,20/24)</f>
        <v>0.66666666666666663</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1.6666666666666667</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1.6666666666666667</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'P9'!AC37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'P9'!T51</f>
        <v>1.5</v>
      </c>
      <c r="Q51" s="505"/>
      <c r="R51" s="207">
        <f>+Y54*AC38</f>
        <v>0.16666666666666666</v>
      </c>
      <c r="S51" s="207">
        <f>Y33+Y51</f>
        <v>0</v>
      </c>
      <c r="T51" s="494">
        <f t="shared" ref="T51:T56" si="19">P51+R51-S51</f>
        <v>1.6666666666666667</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'P9'!T52</f>
        <v>1.5</v>
      </c>
      <c r="Q52" s="493"/>
      <c r="R52" s="208">
        <f>+Y55*AC38</f>
        <v>0.16666666666666666</v>
      </c>
      <c r="S52" s="207">
        <f>Y34+Y35</f>
        <v>0</v>
      </c>
      <c r="T52" s="478">
        <f t="shared" si="19"/>
        <v>1.6666666666666667</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MIN(Instructions!$C$7,'P9'!T53)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'P9'!T54</f>
        <v>0</v>
      </c>
      <c r="Q54" s="493"/>
      <c r="R54" s="208">
        <f>Y27</f>
        <v>0</v>
      </c>
      <c r="S54" s="208">
        <f>Y36</f>
        <v>0</v>
      </c>
      <c r="T54" s="478">
        <f t="shared" si="19"/>
        <v>0</v>
      </c>
      <c r="U54" s="480"/>
      <c r="V54" s="93"/>
      <c r="W54" s="247" t="s">
        <v>123</v>
      </c>
      <c r="X54" s="76"/>
      <c r="Y54" s="257">
        <f>IF(Instructions!A14=0,'P9'!Y54,FLOOR((ROUND(96*(AC25+Y48-Y42),0)/96)/Instructions!C14,1)/24)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'P9'!T55</f>
        <v>0</v>
      </c>
      <c r="Q55" s="493"/>
      <c r="R55" s="208">
        <f>Y28</f>
        <v>0</v>
      </c>
      <c r="S55" s="208">
        <f>Y37</f>
        <v>0</v>
      </c>
      <c r="T55" s="478">
        <f t="shared" si="19"/>
        <v>0</v>
      </c>
      <c r="U55" s="480"/>
      <c r="V55" s="93"/>
      <c r="W55" s="247" t="s">
        <v>124</v>
      </c>
      <c r="X55" s="76"/>
      <c r="Y55" s="257">
        <f>IF(Instructions!A14=0,'P9'!Y55,FLOOR((ROUND(96*(AC26+Y48-Y42),0)/96)/20,1/24))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'P9'!T56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'P9'!T57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'P9'!B59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'P9'!B61</f>
        <v>____________________________</v>
      </c>
      <c r="C61" s="93"/>
      <c r="D61" s="93"/>
      <c r="E61" s="93"/>
      <c r="F61" s="93"/>
      <c r="G61" s="93"/>
      <c r="H61" s="250"/>
      <c r="I61" s="250">
        <f>'P9'!I61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'P9'!B62</f>
        <v xml:space="preserve">    Employee Signature</v>
      </c>
      <c r="C62" s="96"/>
      <c r="D62" s="96"/>
      <c r="E62" s="96"/>
      <c r="F62" s="96"/>
      <c r="G62" s="96"/>
      <c r="H62" s="96"/>
      <c r="I62" s="260">
        <f>'P9'!I62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203" priority="12" stopIfTrue="1" operator="equal">
      <formula>TODAY()</formula>
    </cfRule>
  </conditionalFormatting>
  <conditionalFormatting sqref="O23:V23 G23:M23">
    <cfRule type="cellIs" dxfId="202" priority="11" stopIfTrue="1" operator="equal">
      <formula>TODAY()</formula>
    </cfRule>
  </conditionalFormatting>
  <conditionalFormatting sqref="G12:M13 P12:V13">
    <cfRule type="cellIs" dxfId="201" priority="10" stopIfTrue="1" operator="equal">
      <formula>0</formula>
    </cfRule>
  </conditionalFormatting>
  <conditionalFormatting sqref="G46:N46 P46:W46 Y46 Y44 Y32:Y42 Y30 Y24:Y28">
    <cfRule type="cellIs" dxfId="200" priority="9" stopIfTrue="1" operator="equal">
      <formula>0</formula>
    </cfRule>
  </conditionalFormatting>
  <conditionalFormatting sqref="T53:U53">
    <cfRule type="cellIs" dxfId="199" priority="8" stopIfTrue="1" operator="greaterThan">
      <formula>1</formula>
    </cfRule>
  </conditionalFormatting>
  <conditionalFormatting sqref="G18:M20 P18:V20">
    <cfRule type="cellIs" dxfId="198" priority="7" operator="equal">
      <formula>0</formula>
    </cfRule>
  </conditionalFormatting>
  <conditionalFormatting sqref="G48:M48 P48:V48">
    <cfRule type="expression" dxfId="197" priority="4">
      <formula>G48&lt;&gt;G18</formula>
    </cfRule>
  </conditionalFormatting>
  <conditionalFormatting sqref="P48:V48">
    <cfRule type="expression" dxfId="196" priority="5">
      <formula>P48&lt;&gt;P18</formula>
    </cfRule>
  </conditionalFormatting>
  <conditionalFormatting sqref="G30:L30 M24 N24:N28 N30 P30:U30 V24 P24 W24:W28 W30 W32:W42 P48:W48 G48:N48 G32:G35 N32:N42 G44:N44 P44:W44 G24">
    <cfRule type="cellIs" dxfId="195" priority="6" operator="equal">
      <formula>0</formula>
    </cfRule>
  </conditionalFormatting>
  <conditionalFormatting sqref="H24:L24 Q24:U24">
    <cfRule type="cellIs" dxfId="194" priority="3" operator="equal">
      <formula>0</formula>
    </cfRule>
  </conditionalFormatting>
  <conditionalFormatting sqref="M30">
    <cfRule type="cellIs" dxfId="193" priority="2" operator="equal">
      <formula>0</formula>
    </cfRule>
  </conditionalFormatting>
  <conditionalFormatting sqref="V30">
    <cfRule type="cellIs" dxfId="192" priority="1" operator="equal">
      <formula>0</formula>
    </cfRule>
  </conditionalFormatting>
  <pageMargins left="0.25" right="0.25" top="0.54" bottom="0.25" header="0" footer="0"/>
  <pageSetup scale="89" orientation="landscape"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42877</v>
      </c>
      <c r="H3" s="120">
        <f t="shared" si="0"/>
        <v>42878</v>
      </c>
      <c r="I3" s="120">
        <f t="shared" si="0"/>
        <v>42879</v>
      </c>
      <c r="J3" s="120">
        <f t="shared" si="0"/>
        <v>42880</v>
      </c>
      <c r="K3" s="120">
        <f t="shared" si="0"/>
        <v>42881</v>
      </c>
      <c r="L3" s="120">
        <f t="shared" si="0"/>
        <v>42882</v>
      </c>
      <c r="M3" s="120">
        <f t="shared" si="0"/>
        <v>42883</v>
      </c>
      <c r="N3" s="120"/>
      <c r="O3" s="120"/>
      <c r="P3" s="120">
        <f t="shared" si="1"/>
        <v>42884</v>
      </c>
      <c r="Q3" s="120">
        <f t="shared" si="1"/>
        <v>42885</v>
      </c>
      <c r="R3" s="120">
        <f t="shared" si="1"/>
        <v>42886</v>
      </c>
      <c r="S3" s="120">
        <f t="shared" si="1"/>
        <v>42887</v>
      </c>
      <c r="T3" s="120">
        <f t="shared" si="1"/>
        <v>42888</v>
      </c>
      <c r="U3" s="120">
        <f t="shared" si="1"/>
        <v>42889</v>
      </c>
      <c r="V3" s="120">
        <f t="shared" si="1"/>
        <v>42890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'P10'!R15+1</f>
        <v>11</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'P10'!L16</f>
        <v>2021</v>
      </c>
      <c r="M16" s="96"/>
      <c r="N16" s="97"/>
      <c r="O16" s="93"/>
      <c r="P16" s="143" t="s">
        <v>16</v>
      </c>
      <c r="Q16" s="113">
        <f>'P10'!Q16+14</f>
        <v>42877</v>
      </c>
      <c r="R16" s="144" t="s">
        <v>17</v>
      </c>
      <c r="S16" s="113">
        <f>Q16+13</f>
        <v>42890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'P10'!G18</f>
        <v>0</v>
      </c>
      <c r="H18" s="326">
        <f>'P10'!H18</f>
        <v>0.33333333333333331</v>
      </c>
      <c r="I18" s="326">
        <f>'P10'!I18</f>
        <v>0.33333333333333331</v>
      </c>
      <c r="J18" s="326">
        <f>'P10'!J18</f>
        <v>0.33333333333333331</v>
      </c>
      <c r="K18" s="326">
        <f>'P10'!K18</f>
        <v>0.33333333333333331</v>
      </c>
      <c r="L18" s="326">
        <f>'P10'!L18</f>
        <v>0.33333333333333331</v>
      </c>
      <c r="M18" s="326">
        <f>'P10'!M18</f>
        <v>0</v>
      </c>
      <c r="N18" s="231">
        <f>SUM(G18:M18)</f>
        <v>1.6666666666666665</v>
      </c>
      <c r="O18" s="79"/>
      <c r="P18" s="326">
        <f>'P10'!P18</f>
        <v>0</v>
      </c>
      <c r="Q18" s="326">
        <f>'P10'!Q18</f>
        <v>0.33333333333333331</v>
      </c>
      <c r="R18" s="326">
        <f>'P10'!R18</f>
        <v>0.33333333333333331</v>
      </c>
      <c r="S18" s="326">
        <f>'P10'!S18</f>
        <v>0.33333333333333331</v>
      </c>
      <c r="T18" s="326">
        <f>'P10'!T18</f>
        <v>0.33333333333333331</v>
      </c>
      <c r="U18" s="326">
        <f>'P10'!U18</f>
        <v>0.33333333333333331</v>
      </c>
      <c r="V18" s="326">
        <f>'P10'!V18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'P10'!G19</f>
        <v>0</v>
      </c>
      <c r="H19" s="326">
        <f>'P10'!H19</f>
        <v>0.3125</v>
      </c>
      <c r="I19" s="326">
        <f>'P10'!I19</f>
        <v>0.3125</v>
      </c>
      <c r="J19" s="326">
        <f>'P10'!J19</f>
        <v>0.3125</v>
      </c>
      <c r="K19" s="326">
        <f>'P10'!K19</f>
        <v>0.3125</v>
      </c>
      <c r="L19" s="326">
        <f>'P10'!L19</f>
        <v>0.3125</v>
      </c>
      <c r="M19" s="326">
        <f>'P10'!M19</f>
        <v>0</v>
      </c>
      <c r="N19" s="87"/>
      <c r="O19" s="83"/>
      <c r="P19" s="326">
        <f>'P10'!P19</f>
        <v>0</v>
      </c>
      <c r="Q19" s="326">
        <f>'P10'!Q19</f>
        <v>0.3125</v>
      </c>
      <c r="R19" s="326">
        <f>'P10'!R19</f>
        <v>0.3125</v>
      </c>
      <c r="S19" s="326">
        <f>'P10'!S19</f>
        <v>0.3125</v>
      </c>
      <c r="T19" s="326">
        <f>'P10'!T19</f>
        <v>0.3125</v>
      </c>
      <c r="U19" s="326">
        <f>'P10'!U19</f>
        <v>0.3125</v>
      </c>
      <c r="V19" s="326">
        <f>'P10'!V19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'P10'!G20</f>
        <v>0</v>
      </c>
      <c r="H20" s="326">
        <f>'P10'!H20</f>
        <v>0.1875</v>
      </c>
      <c r="I20" s="326">
        <f>'P10'!I20</f>
        <v>0.1875</v>
      </c>
      <c r="J20" s="326">
        <f>'P10'!J20</f>
        <v>0.1875</v>
      </c>
      <c r="K20" s="326">
        <f>'P10'!K20</f>
        <v>0.1875</v>
      </c>
      <c r="L20" s="326">
        <f>'P10'!L20</f>
        <v>0.1875</v>
      </c>
      <c r="M20" s="326">
        <f>'P10'!M20</f>
        <v>0</v>
      </c>
      <c r="N20" s="112"/>
      <c r="O20" s="245"/>
      <c r="P20" s="326">
        <f>'P10'!P20</f>
        <v>0</v>
      </c>
      <c r="Q20" s="326">
        <f>'P10'!Q20</f>
        <v>0.1875</v>
      </c>
      <c r="R20" s="326">
        <f>'P10'!R20</f>
        <v>0.1875</v>
      </c>
      <c r="S20" s="326">
        <f>'P10'!S20</f>
        <v>0.1875</v>
      </c>
      <c r="T20" s="326">
        <f>'P10'!T20</f>
        <v>0.1875</v>
      </c>
      <c r="U20" s="326">
        <f>'P10'!U20</f>
        <v>0.1875</v>
      </c>
      <c r="V20" s="326">
        <f>'P10'!V20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42877</v>
      </c>
      <c r="H23" s="175">
        <f t="shared" ref="H23:M23" si="4">G23+1</f>
        <v>42878</v>
      </c>
      <c r="I23" s="175">
        <f t="shared" si="4"/>
        <v>42879</v>
      </c>
      <c r="J23" s="175">
        <f t="shared" si="4"/>
        <v>42880</v>
      </c>
      <c r="K23" s="175">
        <f t="shared" si="4"/>
        <v>42881</v>
      </c>
      <c r="L23" s="175">
        <f t="shared" si="4"/>
        <v>42882</v>
      </c>
      <c r="M23" s="175">
        <f t="shared" si="4"/>
        <v>42883</v>
      </c>
      <c r="N23" s="176"/>
      <c r="O23" s="84"/>
      <c r="P23" s="175">
        <f>M23+1</f>
        <v>42884</v>
      </c>
      <c r="Q23" s="175">
        <f t="shared" ref="Q23:V23" si="5">P23+1</f>
        <v>42885</v>
      </c>
      <c r="R23" s="175">
        <f t="shared" si="5"/>
        <v>42886</v>
      </c>
      <c r="S23" s="175">
        <f t="shared" si="5"/>
        <v>42887</v>
      </c>
      <c r="T23" s="175">
        <f t="shared" si="5"/>
        <v>42888</v>
      </c>
      <c r="U23" s="175">
        <f t="shared" si="5"/>
        <v>42889</v>
      </c>
      <c r="V23" s="175">
        <f t="shared" si="5"/>
        <v>42890</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'P10'!AD25</f>
        <v>0.66666666666666663</v>
      </c>
      <c r="AD25" s="229">
        <f>MOD(ROUND(96*(AC25+Y48-Y42),0)/96,Instructions!C14)</f>
        <v>0.16666666666666663</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'P10'!AD26</f>
        <v>0.66666666666666663</v>
      </c>
      <c r="AD26" s="229">
        <f>MOD(ROUND(96*(AC26+Y48-Y42),0)/96,20/24)</f>
        <v>0.16666666666666663</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1.8333333333333335</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1.8333333333333335</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'P10'!AC37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v>0.33333333333333331</v>
      </c>
      <c r="R40" s="330"/>
      <c r="S40" s="330"/>
      <c r="T40" s="330"/>
      <c r="U40" s="330"/>
      <c r="V40" s="205"/>
      <c r="W40" s="234">
        <f t="shared" si="12"/>
        <v>0.33333333333333331</v>
      </c>
      <c r="X40" s="130"/>
      <c r="Y40" s="240">
        <f t="shared" si="9"/>
        <v>0.33333333333333331</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0.33333333333333331</v>
      </c>
      <c r="R44" s="353">
        <f t="shared" si="14"/>
        <v>0</v>
      </c>
      <c r="S44" s="353">
        <f t="shared" si="14"/>
        <v>0</v>
      </c>
      <c r="T44" s="353">
        <f t="shared" si="14"/>
        <v>0</v>
      </c>
      <c r="U44" s="353">
        <f t="shared" si="14"/>
        <v>0</v>
      </c>
      <c r="V44" s="353">
        <f t="shared" si="14"/>
        <v>0</v>
      </c>
      <c r="W44" s="235">
        <f t="shared" si="12"/>
        <v>0.33333333333333331</v>
      </c>
      <c r="X44" s="173"/>
      <c r="Y44" s="334">
        <f t="shared" si="9"/>
        <v>0.33333333333333331</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0.33333333333333331</v>
      </c>
      <c r="R46" s="259">
        <f t="shared" si="16"/>
        <v>0</v>
      </c>
      <c r="S46" s="259">
        <f t="shared" si="16"/>
        <v>0</v>
      </c>
      <c r="T46" s="259">
        <f t="shared" si="16"/>
        <v>0</v>
      </c>
      <c r="U46" s="259">
        <f t="shared" si="16"/>
        <v>0</v>
      </c>
      <c r="V46" s="259">
        <f t="shared" si="16"/>
        <v>0</v>
      </c>
      <c r="W46" s="240">
        <f>SUM(P46:V46)</f>
        <v>0.33333333333333331</v>
      </c>
      <c r="X46" s="156"/>
      <c r="Y46" s="240">
        <f t="shared" si="9"/>
        <v>0.33333333333333331</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0.33333333333333331</v>
      </c>
      <c r="R48" s="292">
        <f t="shared" si="18"/>
        <v>0</v>
      </c>
      <c r="S48" s="292">
        <f t="shared" si="18"/>
        <v>0</v>
      </c>
      <c r="T48" s="292">
        <f t="shared" si="18"/>
        <v>0</v>
      </c>
      <c r="U48" s="292">
        <f t="shared" si="18"/>
        <v>0</v>
      </c>
      <c r="V48" s="292">
        <f t="shared" si="18"/>
        <v>0</v>
      </c>
      <c r="W48" s="235">
        <f>SUM(P48:V48)</f>
        <v>0.33333333333333331</v>
      </c>
      <c r="X48" s="173"/>
      <c r="Y48" s="238">
        <f t="shared" si="9"/>
        <v>0.33333333333333331</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'P10'!T51</f>
        <v>1.6666666666666667</v>
      </c>
      <c r="Q51" s="505"/>
      <c r="R51" s="207">
        <f>+Y54*AC38</f>
        <v>0.16666666666666666</v>
      </c>
      <c r="S51" s="207">
        <f>Y33+Y51</f>
        <v>0</v>
      </c>
      <c r="T51" s="494">
        <f t="shared" ref="T51:T56" si="19">P51+R51-S51</f>
        <v>1.8333333333333335</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'P10'!T52</f>
        <v>1.6666666666666667</v>
      </c>
      <c r="Q52" s="493"/>
      <c r="R52" s="208">
        <f>+Y55*AC38</f>
        <v>0.16666666666666666</v>
      </c>
      <c r="S52" s="207">
        <f>Y34+Y35</f>
        <v>0</v>
      </c>
      <c r="T52" s="478">
        <f t="shared" si="19"/>
        <v>1.8333333333333335</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MIN(Instructions!$C$7,'P10'!T53)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'P10'!T54</f>
        <v>0</v>
      </c>
      <c r="Q54" s="493"/>
      <c r="R54" s="208">
        <f>Y27</f>
        <v>0</v>
      </c>
      <c r="S54" s="208">
        <f>Y36</f>
        <v>0</v>
      </c>
      <c r="T54" s="478">
        <f t="shared" si="19"/>
        <v>0</v>
      </c>
      <c r="U54" s="480"/>
      <c r="V54" s="93"/>
      <c r="W54" s="247" t="s">
        <v>123</v>
      </c>
      <c r="X54" s="76"/>
      <c r="Y54" s="257">
        <f>IF(Instructions!A14=0,'P10'!Y54,FLOOR((ROUND(96*(AC25+Y48-Y42),0)/96)/Instructions!C14,1)/24)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'P10'!T55</f>
        <v>0</v>
      </c>
      <c r="Q55" s="493"/>
      <c r="R55" s="208">
        <f>Y28</f>
        <v>0</v>
      </c>
      <c r="S55" s="208">
        <f>Y37</f>
        <v>0</v>
      </c>
      <c r="T55" s="478">
        <f t="shared" si="19"/>
        <v>0</v>
      </c>
      <c r="U55" s="480"/>
      <c r="V55" s="93"/>
      <c r="W55" s="247" t="s">
        <v>124</v>
      </c>
      <c r="X55" s="76"/>
      <c r="Y55" s="257">
        <f>IF(Instructions!A14=0,'P10'!Y55,FLOOR((ROUND(96*(AC26+Y48-Y42),0)/96)/20,1/24))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'P10'!T56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'P10'!T57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'P10'!B59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'P10'!B61</f>
        <v>____________________________</v>
      </c>
      <c r="C61" s="93"/>
      <c r="D61" s="93"/>
      <c r="E61" s="93"/>
      <c r="F61" s="93"/>
      <c r="G61" s="93"/>
      <c r="H61" s="250"/>
      <c r="I61" s="250">
        <f>'P10'!I61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'P10'!B62</f>
        <v xml:space="preserve">    Employee Signature</v>
      </c>
      <c r="C62" s="96"/>
      <c r="D62" s="96"/>
      <c r="E62" s="96"/>
      <c r="F62" s="96"/>
      <c r="G62" s="96"/>
      <c r="H62" s="96"/>
      <c r="I62" s="260">
        <f>'P10'!I62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0.33333333333333331</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91" priority="12" stopIfTrue="1" operator="equal">
      <formula>TODAY()</formula>
    </cfRule>
  </conditionalFormatting>
  <conditionalFormatting sqref="O23:V23 G23:M23">
    <cfRule type="cellIs" dxfId="190" priority="11" stopIfTrue="1" operator="equal">
      <formula>TODAY()</formula>
    </cfRule>
  </conditionalFormatting>
  <conditionalFormatting sqref="G12:M13 P12:V13">
    <cfRule type="cellIs" dxfId="189" priority="10" stopIfTrue="1" operator="equal">
      <formula>0</formula>
    </cfRule>
  </conditionalFormatting>
  <conditionalFormatting sqref="G46:N46 P46:W46 Y46 Y44 Y32:Y42 Y30 Y24:Y28">
    <cfRule type="cellIs" dxfId="188" priority="9" stopIfTrue="1" operator="equal">
      <formula>0</formula>
    </cfRule>
  </conditionalFormatting>
  <conditionalFormatting sqref="T53:U53">
    <cfRule type="cellIs" dxfId="187" priority="8" stopIfTrue="1" operator="greaterThan">
      <formula>1</formula>
    </cfRule>
  </conditionalFormatting>
  <conditionalFormatting sqref="G18:M20 P18:V20">
    <cfRule type="cellIs" dxfId="186" priority="7" operator="equal">
      <formula>0</formula>
    </cfRule>
  </conditionalFormatting>
  <conditionalFormatting sqref="G48:M48 P48:V48">
    <cfRule type="expression" dxfId="185" priority="4">
      <formula>G48&lt;&gt;G18</formula>
    </cfRule>
  </conditionalFormatting>
  <conditionalFormatting sqref="P48:V48">
    <cfRule type="expression" dxfId="184" priority="5">
      <formula>P48&lt;&gt;P18</formula>
    </cfRule>
  </conditionalFormatting>
  <conditionalFormatting sqref="G30:L30 M24 N24:N28 N30 P30:U30 V24 P24 W24:W28 W30 W32:W42 P48:W48 G48:N48 G32:G35 N32:N42 G44:N44 P44:W44 G24">
    <cfRule type="cellIs" dxfId="183" priority="6" operator="equal">
      <formula>0</formula>
    </cfRule>
  </conditionalFormatting>
  <conditionalFormatting sqref="H24:L24 Q24:U24">
    <cfRule type="cellIs" dxfId="182" priority="3" operator="equal">
      <formula>0</formula>
    </cfRule>
  </conditionalFormatting>
  <conditionalFormatting sqref="M30">
    <cfRule type="cellIs" dxfId="181" priority="2" operator="equal">
      <formula>0</formula>
    </cfRule>
  </conditionalFormatting>
  <conditionalFormatting sqref="V30">
    <cfRule type="cellIs" dxfId="180" priority="1" operator="equal">
      <formula>0</formula>
    </cfRule>
  </conditionalFormatting>
  <pageMargins left="0.25" right="0.25" top="0.54" bottom="0.25" header="0" footer="0"/>
  <pageSetup scale="89"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42891</v>
      </c>
      <c r="H3" s="120">
        <f t="shared" si="0"/>
        <v>42892</v>
      </c>
      <c r="I3" s="120">
        <f t="shared" si="0"/>
        <v>42893</v>
      </c>
      <c r="J3" s="120">
        <f t="shared" si="0"/>
        <v>42894</v>
      </c>
      <c r="K3" s="120">
        <f t="shared" si="0"/>
        <v>42895</v>
      </c>
      <c r="L3" s="120">
        <f t="shared" si="0"/>
        <v>42896</v>
      </c>
      <c r="M3" s="120">
        <f t="shared" si="0"/>
        <v>42897</v>
      </c>
      <c r="N3" s="120"/>
      <c r="O3" s="120"/>
      <c r="P3" s="120">
        <f t="shared" si="1"/>
        <v>42898</v>
      </c>
      <c r="Q3" s="120">
        <f t="shared" si="1"/>
        <v>42899</v>
      </c>
      <c r="R3" s="120">
        <f t="shared" si="1"/>
        <v>42900</v>
      </c>
      <c r="S3" s="120">
        <f t="shared" si="1"/>
        <v>42901</v>
      </c>
      <c r="T3" s="120">
        <f t="shared" si="1"/>
        <v>42902</v>
      </c>
      <c r="U3" s="120">
        <f t="shared" si="1"/>
        <v>42903</v>
      </c>
      <c r="V3" s="120">
        <f t="shared" si="1"/>
        <v>42904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'P11'!R15+1</f>
        <v>12</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'P11'!L16</f>
        <v>2021</v>
      </c>
      <c r="M16" s="96"/>
      <c r="N16" s="97"/>
      <c r="O16" s="93"/>
      <c r="P16" s="143" t="s">
        <v>16</v>
      </c>
      <c r="Q16" s="113">
        <f>'P11'!Q16+14</f>
        <v>42891</v>
      </c>
      <c r="R16" s="144" t="s">
        <v>17</v>
      </c>
      <c r="S16" s="113">
        <f>Q16+13</f>
        <v>42904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'P11'!G18</f>
        <v>0</v>
      </c>
      <c r="H18" s="326">
        <f>'P11'!H18</f>
        <v>0.33333333333333331</v>
      </c>
      <c r="I18" s="326">
        <f>'P11'!I18</f>
        <v>0.33333333333333331</v>
      </c>
      <c r="J18" s="326">
        <f>'P11'!J18</f>
        <v>0.33333333333333331</v>
      </c>
      <c r="K18" s="326">
        <f>'P11'!K18</f>
        <v>0.33333333333333331</v>
      </c>
      <c r="L18" s="326">
        <f>'P11'!L18</f>
        <v>0.33333333333333331</v>
      </c>
      <c r="M18" s="326">
        <f>'P11'!M18</f>
        <v>0</v>
      </c>
      <c r="N18" s="231">
        <f>SUM(G18:M18)</f>
        <v>1.6666666666666665</v>
      </c>
      <c r="O18" s="79"/>
      <c r="P18" s="326">
        <f>'P11'!P18</f>
        <v>0</v>
      </c>
      <c r="Q18" s="326">
        <f>'P11'!Q18</f>
        <v>0.33333333333333331</v>
      </c>
      <c r="R18" s="326">
        <f>'P11'!R18</f>
        <v>0.33333333333333331</v>
      </c>
      <c r="S18" s="326">
        <f>'P11'!S18</f>
        <v>0.33333333333333331</v>
      </c>
      <c r="T18" s="326">
        <f>'P11'!T18</f>
        <v>0.33333333333333331</v>
      </c>
      <c r="U18" s="326">
        <f>'P11'!U18</f>
        <v>0.33333333333333331</v>
      </c>
      <c r="V18" s="326">
        <f>'P11'!V18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'P11'!G19</f>
        <v>0</v>
      </c>
      <c r="H19" s="326">
        <f>'P11'!H19</f>
        <v>0.3125</v>
      </c>
      <c r="I19" s="326">
        <f>'P11'!I19</f>
        <v>0.3125</v>
      </c>
      <c r="J19" s="326">
        <f>'P11'!J19</f>
        <v>0.3125</v>
      </c>
      <c r="K19" s="326">
        <f>'P11'!K19</f>
        <v>0.3125</v>
      </c>
      <c r="L19" s="326">
        <f>'P11'!L19</f>
        <v>0.3125</v>
      </c>
      <c r="M19" s="326">
        <f>'P11'!M19</f>
        <v>0</v>
      </c>
      <c r="N19" s="87"/>
      <c r="O19" s="83"/>
      <c r="P19" s="326">
        <f>'P11'!P19</f>
        <v>0</v>
      </c>
      <c r="Q19" s="326">
        <f>'P11'!Q19</f>
        <v>0.3125</v>
      </c>
      <c r="R19" s="326">
        <f>'P11'!R19</f>
        <v>0.3125</v>
      </c>
      <c r="S19" s="326">
        <f>'P11'!S19</f>
        <v>0.3125</v>
      </c>
      <c r="T19" s="326">
        <f>'P11'!T19</f>
        <v>0.3125</v>
      </c>
      <c r="U19" s="326">
        <f>'P11'!U19</f>
        <v>0.3125</v>
      </c>
      <c r="V19" s="326">
        <f>'P11'!V19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'P11'!G20</f>
        <v>0</v>
      </c>
      <c r="H20" s="326">
        <f>'P11'!H20</f>
        <v>0.1875</v>
      </c>
      <c r="I20" s="326">
        <f>'P11'!I20</f>
        <v>0.1875</v>
      </c>
      <c r="J20" s="326">
        <f>'P11'!J20</f>
        <v>0.1875</v>
      </c>
      <c r="K20" s="326">
        <f>'P11'!K20</f>
        <v>0.1875</v>
      </c>
      <c r="L20" s="326">
        <f>'P11'!L20</f>
        <v>0.1875</v>
      </c>
      <c r="M20" s="326">
        <f>'P11'!M20</f>
        <v>0</v>
      </c>
      <c r="N20" s="112"/>
      <c r="O20" s="245"/>
      <c r="P20" s="326">
        <f>'P11'!P20</f>
        <v>0</v>
      </c>
      <c r="Q20" s="326">
        <f>'P11'!Q20</f>
        <v>0.1875</v>
      </c>
      <c r="R20" s="326">
        <f>'P11'!R20</f>
        <v>0.1875</v>
      </c>
      <c r="S20" s="326">
        <f>'P11'!S20</f>
        <v>0.1875</v>
      </c>
      <c r="T20" s="326">
        <f>'P11'!T20</f>
        <v>0.1875</v>
      </c>
      <c r="U20" s="326">
        <f>'P11'!U20</f>
        <v>0.1875</v>
      </c>
      <c r="V20" s="326">
        <f>'P11'!V20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42891</v>
      </c>
      <c r="H23" s="175">
        <f t="shared" ref="H23:M23" si="4">G23+1</f>
        <v>42892</v>
      </c>
      <c r="I23" s="175">
        <f t="shared" si="4"/>
        <v>42893</v>
      </c>
      <c r="J23" s="175">
        <f t="shared" si="4"/>
        <v>42894</v>
      </c>
      <c r="K23" s="175">
        <f t="shared" si="4"/>
        <v>42895</v>
      </c>
      <c r="L23" s="175">
        <f t="shared" si="4"/>
        <v>42896</v>
      </c>
      <c r="M23" s="175">
        <f t="shared" si="4"/>
        <v>42897</v>
      </c>
      <c r="N23" s="176"/>
      <c r="O23" s="84"/>
      <c r="P23" s="175">
        <f>M23+1</f>
        <v>42898</v>
      </c>
      <c r="Q23" s="175">
        <f t="shared" ref="Q23:V23" si="5">P23+1</f>
        <v>42899</v>
      </c>
      <c r="R23" s="175">
        <f t="shared" si="5"/>
        <v>42900</v>
      </c>
      <c r="S23" s="175">
        <f t="shared" si="5"/>
        <v>42901</v>
      </c>
      <c r="T23" s="175">
        <f t="shared" si="5"/>
        <v>42902</v>
      </c>
      <c r="U23" s="175">
        <f t="shared" si="5"/>
        <v>42903</v>
      </c>
      <c r="V23" s="175">
        <f t="shared" si="5"/>
        <v>42904</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'P11'!AD25</f>
        <v>0.16666666666666663</v>
      </c>
      <c r="AD25" s="229">
        <f>MOD(ROUND(96*(AC25+Y48-Y42),0)/96,Instructions!C14)</f>
        <v>0.16666666666666666</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'P11'!AD26</f>
        <v>0.16666666666666663</v>
      </c>
      <c r="AD26" s="229">
        <f>MOD(ROUND(96*(AC26+Y48-Y42),0)/96,20/24)</f>
        <v>0.16666666666666666</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'P11'!AC37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'P11'!T51</f>
        <v>1.8333333333333335</v>
      </c>
      <c r="Q51" s="505"/>
      <c r="R51" s="207">
        <f>+Y54*AC38</f>
        <v>0.16666666666666666</v>
      </c>
      <c r="S51" s="207">
        <f>Y33+Y51</f>
        <v>0</v>
      </c>
      <c r="T51" s="494">
        <f t="shared" ref="T51:T56" si="19">P51+R51-S51</f>
        <v>2</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'P11'!T52</f>
        <v>1.8333333333333335</v>
      </c>
      <c r="Q52" s="493"/>
      <c r="R52" s="208">
        <f>+Y55*AC38</f>
        <v>0.16666666666666666</v>
      </c>
      <c r="S52" s="207">
        <f>Y34+Y35</f>
        <v>0</v>
      </c>
      <c r="T52" s="478">
        <f t="shared" si="19"/>
        <v>2</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MIN(Instructions!$C$7,'P11'!T53)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'P11'!T54</f>
        <v>0</v>
      </c>
      <c r="Q54" s="493"/>
      <c r="R54" s="208">
        <f>Y27</f>
        <v>0</v>
      </c>
      <c r="S54" s="208">
        <f>Y36</f>
        <v>0</v>
      </c>
      <c r="T54" s="478">
        <f t="shared" si="19"/>
        <v>0</v>
      </c>
      <c r="U54" s="480"/>
      <c r="V54" s="93"/>
      <c r="W54" s="247" t="s">
        <v>123</v>
      </c>
      <c r="X54" s="76"/>
      <c r="Y54" s="257">
        <f>IF(Instructions!A14=0,'P11'!Y54,FLOOR((ROUND(96*(AC25+Y48-Y42),0)/96)/Instructions!C14,1)/24)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'P11'!T55</f>
        <v>0</v>
      </c>
      <c r="Q55" s="493"/>
      <c r="R55" s="208">
        <f>Y28</f>
        <v>0</v>
      </c>
      <c r="S55" s="208">
        <f>Y37</f>
        <v>0</v>
      </c>
      <c r="T55" s="478">
        <f t="shared" si="19"/>
        <v>0</v>
      </c>
      <c r="U55" s="480"/>
      <c r="V55" s="93"/>
      <c r="W55" s="247" t="s">
        <v>124</v>
      </c>
      <c r="X55" s="76"/>
      <c r="Y55" s="257">
        <f>IF(Instructions!A14=0,'P11'!Y55,FLOOR((ROUND(96*(AC26+Y48-Y42),0)/96)/20,1/24))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'P11'!T56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'P11'!T57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'P11'!B59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'P11'!B61</f>
        <v>____________________________</v>
      </c>
      <c r="C61" s="93"/>
      <c r="D61" s="93"/>
      <c r="E61" s="93"/>
      <c r="F61" s="93"/>
      <c r="G61" s="93"/>
      <c r="H61" s="250"/>
      <c r="I61" s="250">
        <f>'P11'!I61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'P11'!B62</f>
        <v xml:space="preserve">    Employee Signature</v>
      </c>
      <c r="C62" s="96"/>
      <c r="D62" s="96"/>
      <c r="E62" s="96"/>
      <c r="F62" s="96"/>
      <c r="G62" s="96"/>
      <c r="H62" s="96"/>
      <c r="I62" s="260">
        <f>'P11'!I62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79" priority="12" stopIfTrue="1" operator="equal">
      <formula>TODAY()</formula>
    </cfRule>
  </conditionalFormatting>
  <conditionalFormatting sqref="O23:V23 G23:M23">
    <cfRule type="cellIs" dxfId="178" priority="11" stopIfTrue="1" operator="equal">
      <formula>TODAY()</formula>
    </cfRule>
  </conditionalFormatting>
  <conditionalFormatting sqref="G12:M13 P12:V13">
    <cfRule type="cellIs" dxfId="177" priority="10" stopIfTrue="1" operator="equal">
      <formula>0</formula>
    </cfRule>
  </conditionalFormatting>
  <conditionalFormatting sqref="G46:N46 P46:W46 Y46 Y44 Y32:Y42 Y30 Y24:Y28">
    <cfRule type="cellIs" dxfId="176" priority="9" stopIfTrue="1" operator="equal">
      <formula>0</formula>
    </cfRule>
  </conditionalFormatting>
  <conditionalFormatting sqref="T53:U53">
    <cfRule type="cellIs" dxfId="175" priority="8" stopIfTrue="1" operator="greaterThan">
      <formula>1</formula>
    </cfRule>
  </conditionalFormatting>
  <conditionalFormatting sqref="G18:M20 P18:V20">
    <cfRule type="cellIs" dxfId="174" priority="7" operator="equal">
      <formula>0</formula>
    </cfRule>
  </conditionalFormatting>
  <conditionalFormatting sqref="G48:M48 P48:V48">
    <cfRule type="expression" dxfId="173" priority="4">
      <formula>G48&lt;&gt;G18</formula>
    </cfRule>
  </conditionalFormatting>
  <conditionalFormatting sqref="P48:V48">
    <cfRule type="expression" dxfId="172" priority="5">
      <formula>P48&lt;&gt;P18</formula>
    </cfRule>
  </conditionalFormatting>
  <conditionalFormatting sqref="G30:L30 M24 N24:N28 N30 P30:U30 V24 P24 W24:W28 W30 W32:W42 P48:W48 G48:N48 G32:G35 N32:N42 G44:N44 P44:W44 G24">
    <cfRule type="cellIs" dxfId="171" priority="6" operator="equal">
      <formula>0</formula>
    </cfRule>
  </conditionalFormatting>
  <conditionalFormatting sqref="H24:L24 Q24:U24">
    <cfRule type="cellIs" dxfId="170" priority="3" operator="equal">
      <formula>0</formula>
    </cfRule>
  </conditionalFormatting>
  <conditionalFormatting sqref="M30">
    <cfRule type="cellIs" dxfId="169" priority="2" operator="equal">
      <formula>0</formula>
    </cfRule>
  </conditionalFormatting>
  <conditionalFormatting sqref="V30">
    <cfRule type="cellIs" dxfId="168" priority="1" operator="equal">
      <formula>0</formula>
    </cfRule>
  </conditionalFormatting>
  <pageMargins left="0.25" right="0.25" top="0.54" bottom="0.25" header="0" footer="0"/>
  <pageSetup scale="89"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42905</v>
      </c>
      <c r="H3" s="120">
        <f t="shared" si="0"/>
        <v>42906</v>
      </c>
      <c r="I3" s="120">
        <f t="shared" si="0"/>
        <v>42907</v>
      </c>
      <c r="J3" s="120">
        <f t="shared" si="0"/>
        <v>42908</v>
      </c>
      <c r="K3" s="120">
        <f t="shared" si="0"/>
        <v>42909</v>
      </c>
      <c r="L3" s="120">
        <f t="shared" si="0"/>
        <v>42910</v>
      </c>
      <c r="M3" s="120">
        <f t="shared" si="0"/>
        <v>42911</v>
      </c>
      <c r="N3" s="120"/>
      <c r="O3" s="120"/>
      <c r="P3" s="120">
        <f t="shared" si="1"/>
        <v>42912</v>
      </c>
      <c r="Q3" s="120">
        <f t="shared" si="1"/>
        <v>42913</v>
      </c>
      <c r="R3" s="120">
        <f t="shared" si="1"/>
        <v>42914</v>
      </c>
      <c r="S3" s="120">
        <f t="shared" si="1"/>
        <v>42915</v>
      </c>
      <c r="T3" s="120">
        <f t="shared" si="1"/>
        <v>42916</v>
      </c>
      <c r="U3" s="120">
        <f t="shared" si="1"/>
        <v>42917</v>
      </c>
      <c r="V3" s="120">
        <f t="shared" si="1"/>
        <v>42918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'P12'!R15+1</f>
        <v>13</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'P12'!L16</f>
        <v>2021</v>
      </c>
      <c r="M16" s="96"/>
      <c r="N16" s="97"/>
      <c r="O16" s="93"/>
      <c r="P16" s="143" t="s">
        <v>16</v>
      </c>
      <c r="Q16" s="113">
        <f>'P12'!Q16+14</f>
        <v>42905</v>
      </c>
      <c r="R16" s="144" t="s">
        <v>17</v>
      </c>
      <c r="S16" s="113">
        <f>Q16+13</f>
        <v>42918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'P12'!G18</f>
        <v>0</v>
      </c>
      <c r="H18" s="326">
        <f>'P12'!H18</f>
        <v>0.33333333333333331</v>
      </c>
      <c r="I18" s="326">
        <f>'P12'!I18</f>
        <v>0.33333333333333331</v>
      </c>
      <c r="J18" s="326">
        <f>'P12'!J18</f>
        <v>0.33333333333333331</v>
      </c>
      <c r="K18" s="326">
        <f>'P12'!K18</f>
        <v>0.33333333333333331</v>
      </c>
      <c r="L18" s="326">
        <f>'P12'!L18</f>
        <v>0.33333333333333331</v>
      </c>
      <c r="M18" s="326">
        <f>'P12'!M18</f>
        <v>0</v>
      </c>
      <c r="N18" s="231">
        <f>SUM(G18:M18)</f>
        <v>1.6666666666666665</v>
      </c>
      <c r="O18" s="79"/>
      <c r="P18" s="326">
        <f>'P12'!P18</f>
        <v>0</v>
      </c>
      <c r="Q18" s="326">
        <f>'P12'!Q18</f>
        <v>0.33333333333333331</v>
      </c>
      <c r="R18" s="326">
        <f>'P12'!R18</f>
        <v>0.33333333333333331</v>
      </c>
      <c r="S18" s="326">
        <f>'P12'!S18</f>
        <v>0.33333333333333331</v>
      </c>
      <c r="T18" s="326">
        <f>'P12'!T18</f>
        <v>0.33333333333333331</v>
      </c>
      <c r="U18" s="326">
        <f>'P12'!U18</f>
        <v>0.33333333333333331</v>
      </c>
      <c r="V18" s="326">
        <f>'P12'!V18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'P12'!G19</f>
        <v>0</v>
      </c>
      <c r="H19" s="326">
        <f>'P12'!H19</f>
        <v>0.3125</v>
      </c>
      <c r="I19" s="326">
        <f>'P12'!I19</f>
        <v>0.3125</v>
      </c>
      <c r="J19" s="326">
        <f>'P12'!J19</f>
        <v>0.3125</v>
      </c>
      <c r="K19" s="326">
        <f>'P12'!K19</f>
        <v>0.3125</v>
      </c>
      <c r="L19" s="326">
        <f>'P12'!L19</f>
        <v>0.3125</v>
      </c>
      <c r="M19" s="326">
        <f>'P12'!M19</f>
        <v>0</v>
      </c>
      <c r="N19" s="87"/>
      <c r="O19" s="83"/>
      <c r="P19" s="326">
        <f>'P12'!P19</f>
        <v>0</v>
      </c>
      <c r="Q19" s="326">
        <f>'P12'!Q19</f>
        <v>0.3125</v>
      </c>
      <c r="R19" s="326">
        <f>'P12'!R19</f>
        <v>0.3125</v>
      </c>
      <c r="S19" s="326">
        <f>'P12'!S19</f>
        <v>0.3125</v>
      </c>
      <c r="T19" s="326">
        <f>'P12'!T19</f>
        <v>0.3125</v>
      </c>
      <c r="U19" s="326">
        <f>'P12'!U19</f>
        <v>0.3125</v>
      </c>
      <c r="V19" s="326">
        <f>'P12'!V19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'P12'!G20</f>
        <v>0</v>
      </c>
      <c r="H20" s="326">
        <f>'P12'!H20</f>
        <v>0.1875</v>
      </c>
      <c r="I20" s="326">
        <f>'P12'!I20</f>
        <v>0.1875</v>
      </c>
      <c r="J20" s="326">
        <f>'P12'!J20</f>
        <v>0.1875</v>
      </c>
      <c r="K20" s="326">
        <f>'P12'!K20</f>
        <v>0.1875</v>
      </c>
      <c r="L20" s="326">
        <f>'P12'!L20</f>
        <v>0.1875</v>
      </c>
      <c r="M20" s="326">
        <f>'P12'!M20</f>
        <v>0</v>
      </c>
      <c r="N20" s="112"/>
      <c r="O20" s="245"/>
      <c r="P20" s="326">
        <f>'P12'!P20</f>
        <v>0</v>
      </c>
      <c r="Q20" s="326">
        <f>'P12'!Q20</f>
        <v>0.1875</v>
      </c>
      <c r="R20" s="326">
        <f>'P12'!R20</f>
        <v>0.1875</v>
      </c>
      <c r="S20" s="326">
        <f>'P12'!S20</f>
        <v>0.1875</v>
      </c>
      <c r="T20" s="326">
        <f>'P12'!T20</f>
        <v>0.1875</v>
      </c>
      <c r="U20" s="326">
        <f>'P12'!U20</f>
        <v>0.1875</v>
      </c>
      <c r="V20" s="326">
        <f>'P12'!V20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42905</v>
      </c>
      <c r="H23" s="175">
        <f t="shared" ref="H23:M23" si="4">G23+1</f>
        <v>42906</v>
      </c>
      <c r="I23" s="175">
        <f t="shared" si="4"/>
        <v>42907</v>
      </c>
      <c r="J23" s="175">
        <f t="shared" si="4"/>
        <v>42908</v>
      </c>
      <c r="K23" s="175">
        <f t="shared" si="4"/>
        <v>42909</v>
      </c>
      <c r="L23" s="175">
        <f t="shared" si="4"/>
        <v>42910</v>
      </c>
      <c r="M23" s="175">
        <f t="shared" si="4"/>
        <v>42911</v>
      </c>
      <c r="N23" s="176"/>
      <c r="O23" s="84"/>
      <c r="P23" s="175">
        <f>M23+1</f>
        <v>42912</v>
      </c>
      <c r="Q23" s="175">
        <f t="shared" ref="Q23:V23" si="5">P23+1</f>
        <v>42913</v>
      </c>
      <c r="R23" s="175">
        <f t="shared" si="5"/>
        <v>42914</v>
      </c>
      <c r="S23" s="175">
        <f t="shared" si="5"/>
        <v>42915</v>
      </c>
      <c r="T23" s="175">
        <f t="shared" si="5"/>
        <v>42916</v>
      </c>
      <c r="U23" s="175">
        <f t="shared" si="5"/>
        <v>42917</v>
      </c>
      <c r="V23" s="175">
        <f t="shared" si="5"/>
        <v>42918</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'P12'!AD25</f>
        <v>0.16666666666666666</v>
      </c>
      <c r="AD25" s="229">
        <f>MOD(ROUND(96*(AC25+Y48-Y42),0)/96,Instructions!C14)</f>
        <v>0.16666666666666666</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'P12'!AD26</f>
        <v>0.16666666666666666</v>
      </c>
      <c r="AD26" s="229">
        <f>MOD(ROUND(96*(AC26+Y48-Y42),0)/96,20/24)</f>
        <v>0.16666666666666666</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2.1666666666666665</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2.1666666666666665</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'P12'!AC37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'P12'!T51</f>
        <v>2</v>
      </c>
      <c r="Q51" s="505"/>
      <c r="R51" s="207">
        <f>+Y54*AC38</f>
        <v>0.16666666666666666</v>
      </c>
      <c r="S51" s="207">
        <f>Y33+Y51</f>
        <v>0</v>
      </c>
      <c r="T51" s="494">
        <f t="shared" ref="T51:T56" si="19">P51+R51-S51</f>
        <v>2.1666666666666665</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'P12'!T52</f>
        <v>2</v>
      </c>
      <c r="Q52" s="493"/>
      <c r="R52" s="208">
        <f>+Y55*AC38</f>
        <v>0.16666666666666666</v>
      </c>
      <c r="S52" s="207">
        <f>Y34+Y35</f>
        <v>0</v>
      </c>
      <c r="T52" s="478">
        <f t="shared" si="19"/>
        <v>2.1666666666666665</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MIN(Instructions!$C$7,'P12'!T53)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'P12'!T54</f>
        <v>0</v>
      </c>
      <c r="Q54" s="493"/>
      <c r="R54" s="208">
        <f>Y27</f>
        <v>0</v>
      </c>
      <c r="S54" s="208">
        <f>Y36</f>
        <v>0</v>
      </c>
      <c r="T54" s="478">
        <f t="shared" si="19"/>
        <v>0</v>
      </c>
      <c r="U54" s="480"/>
      <c r="V54" s="93"/>
      <c r="W54" s="247" t="s">
        <v>123</v>
      </c>
      <c r="X54" s="76"/>
      <c r="Y54" s="257">
        <f>IF(Instructions!A14=0,'P12'!Y54,FLOOR((ROUND(96*(AC25+Y48-Y42),0)/96)/Instructions!C14,1)/24)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'P12'!T55</f>
        <v>0</v>
      </c>
      <c r="Q55" s="493"/>
      <c r="R55" s="208">
        <f>Y28</f>
        <v>0</v>
      </c>
      <c r="S55" s="208">
        <f>Y37</f>
        <v>0</v>
      </c>
      <c r="T55" s="478">
        <f t="shared" si="19"/>
        <v>0</v>
      </c>
      <c r="U55" s="480"/>
      <c r="V55" s="93"/>
      <c r="W55" s="247" t="s">
        <v>124</v>
      </c>
      <c r="X55" s="76"/>
      <c r="Y55" s="257">
        <f>IF(Instructions!A14=0,'P12'!Y55,FLOOR((ROUND(96*(AC26+Y48-Y42),0)/96)/20,1/24))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'P12'!T56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'P12'!T57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'P12'!B59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'P12'!B61</f>
        <v>____________________________</v>
      </c>
      <c r="C61" s="93"/>
      <c r="D61" s="93"/>
      <c r="E61" s="93"/>
      <c r="F61" s="93"/>
      <c r="G61" s="93"/>
      <c r="H61" s="250"/>
      <c r="I61" s="250">
        <f>'P12'!I61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'P12'!B62</f>
        <v xml:space="preserve">    Employee Signature</v>
      </c>
      <c r="C62" s="96"/>
      <c r="D62" s="96"/>
      <c r="E62" s="96"/>
      <c r="F62" s="96"/>
      <c r="G62" s="96"/>
      <c r="H62" s="96"/>
      <c r="I62" s="260">
        <f>'P12'!I62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67" priority="12" stopIfTrue="1" operator="equal">
      <formula>TODAY()</formula>
    </cfRule>
  </conditionalFormatting>
  <conditionalFormatting sqref="O23:V23 G23:M23">
    <cfRule type="cellIs" dxfId="166" priority="11" stopIfTrue="1" operator="equal">
      <formula>TODAY()</formula>
    </cfRule>
  </conditionalFormatting>
  <conditionalFormatting sqref="G12:M13 P12:V13">
    <cfRule type="cellIs" dxfId="165" priority="10" stopIfTrue="1" operator="equal">
      <formula>0</formula>
    </cfRule>
  </conditionalFormatting>
  <conditionalFormatting sqref="G46:N46 P46:W46 Y46 Y44 Y32:Y42 Y30 Y24:Y28">
    <cfRule type="cellIs" dxfId="164" priority="9" stopIfTrue="1" operator="equal">
      <formula>0</formula>
    </cfRule>
  </conditionalFormatting>
  <conditionalFormatting sqref="T53:U53">
    <cfRule type="cellIs" dxfId="163" priority="8" stopIfTrue="1" operator="greaterThan">
      <formula>1</formula>
    </cfRule>
  </conditionalFormatting>
  <conditionalFormatting sqref="G18:M20 P18:V20">
    <cfRule type="cellIs" dxfId="162" priority="7" operator="equal">
      <formula>0</formula>
    </cfRule>
  </conditionalFormatting>
  <conditionalFormatting sqref="G48:M48 P48:V48">
    <cfRule type="expression" dxfId="161" priority="4">
      <formula>G48&lt;&gt;G18</formula>
    </cfRule>
  </conditionalFormatting>
  <conditionalFormatting sqref="P48:V48">
    <cfRule type="expression" dxfId="160" priority="5">
      <formula>P48&lt;&gt;P18</formula>
    </cfRule>
  </conditionalFormatting>
  <conditionalFormatting sqref="G30:L30 M24 N24:N28 N30 P30:U30 V24 P24 W24:W28 W30 W32:W42 P48:W48 G48:N48 G32:G35 N32:N42 G44:N44 P44:W44 G24">
    <cfRule type="cellIs" dxfId="159" priority="6" operator="equal">
      <formula>0</formula>
    </cfRule>
  </conditionalFormatting>
  <conditionalFormatting sqref="H24:L24 Q24:U24">
    <cfRule type="cellIs" dxfId="158" priority="3" operator="equal">
      <formula>0</formula>
    </cfRule>
  </conditionalFormatting>
  <conditionalFormatting sqref="M30">
    <cfRule type="cellIs" dxfId="157" priority="2" operator="equal">
      <formula>0</formula>
    </cfRule>
  </conditionalFormatting>
  <conditionalFormatting sqref="V30">
    <cfRule type="cellIs" dxfId="156" priority="1" operator="equal">
      <formula>0</formula>
    </cfRule>
  </conditionalFormatting>
  <pageMargins left="0.25" right="0.25" top="0.54" bottom="0.25" header="0" footer="0"/>
  <pageSetup scale="89" orientation="landscape"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AI65"/>
  <sheetViews>
    <sheetView zoomScale="90" workbookViewId="0">
      <selection activeCell="I24" sqref="I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42919</v>
      </c>
      <c r="H3" s="120">
        <f t="shared" si="0"/>
        <v>42920</v>
      </c>
      <c r="I3" s="120">
        <f t="shared" si="0"/>
        <v>42921</v>
      </c>
      <c r="J3" s="120">
        <f t="shared" si="0"/>
        <v>42922</v>
      </c>
      <c r="K3" s="120">
        <f t="shared" si="0"/>
        <v>42923</v>
      </c>
      <c r="L3" s="120">
        <f t="shared" si="0"/>
        <v>42924</v>
      </c>
      <c r="M3" s="120">
        <f t="shared" si="0"/>
        <v>42925</v>
      </c>
      <c r="N3" s="120"/>
      <c r="O3" s="120"/>
      <c r="P3" s="120">
        <f t="shared" si="1"/>
        <v>42926</v>
      </c>
      <c r="Q3" s="120">
        <f t="shared" si="1"/>
        <v>42927</v>
      </c>
      <c r="R3" s="120">
        <f t="shared" si="1"/>
        <v>42928</v>
      </c>
      <c r="S3" s="120">
        <f t="shared" si="1"/>
        <v>42929</v>
      </c>
      <c r="T3" s="120">
        <f t="shared" si="1"/>
        <v>42930</v>
      </c>
      <c r="U3" s="120">
        <f t="shared" si="1"/>
        <v>42931</v>
      </c>
      <c r="V3" s="120">
        <f t="shared" si="1"/>
        <v>42932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'P13'!R15+1</f>
        <v>14</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'P13'!L16</f>
        <v>2021</v>
      </c>
      <c r="M16" s="96"/>
      <c r="N16" s="97"/>
      <c r="O16" s="93"/>
      <c r="P16" s="143" t="s">
        <v>16</v>
      </c>
      <c r="Q16" s="113">
        <f>'P13'!Q16+14</f>
        <v>42919</v>
      </c>
      <c r="R16" s="144" t="s">
        <v>17</v>
      </c>
      <c r="S16" s="113">
        <f>Q16+13</f>
        <v>42932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'P13'!G18</f>
        <v>0</v>
      </c>
      <c r="H18" s="326">
        <f>'P13'!H18</f>
        <v>0.33333333333333331</v>
      </c>
      <c r="I18" s="326">
        <f>'P13'!I18</f>
        <v>0.33333333333333331</v>
      </c>
      <c r="J18" s="326">
        <f>'P13'!J18</f>
        <v>0.33333333333333331</v>
      </c>
      <c r="K18" s="326">
        <f>'P13'!K18</f>
        <v>0.33333333333333331</v>
      </c>
      <c r="L18" s="326">
        <f>'P13'!L18</f>
        <v>0.33333333333333331</v>
      </c>
      <c r="M18" s="326">
        <f>'P13'!M18</f>
        <v>0</v>
      </c>
      <c r="N18" s="231">
        <f>SUM(G18:M18)</f>
        <v>1.6666666666666665</v>
      </c>
      <c r="O18" s="79"/>
      <c r="P18" s="326">
        <f>'P13'!P18</f>
        <v>0</v>
      </c>
      <c r="Q18" s="326">
        <f>'P13'!Q18</f>
        <v>0.33333333333333331</v>
      </c>
      <c r="R18" s="326">
        <f>'P13'!R18</f>
        <v>0.33333333333333331</v>
      </c>
      <c r="S18" s="326">
        <f>'P13'!S18</f>
        <v>0.33333333333333331</v>
      </c>
      <c r="T18" s="326">
        <f>'P13'!T18</f>
        <v>0.33333333333333331</v>
      </c>
      <c r="U18" s="326">
        <f>'P13'!U18</f>
        <v>0.33333333333333331</v>
      </c>
      <c r="V18" s="326">
        <f>'P13'!V18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'P13'!G19</f>
        <v>0</v>
      </c>
      <c r="H19" s="326">
        <f>'P13'!H19</f>
        <v>0.3125</v>
      </c>
      <c r="I19" s="326">
        <f>'P13'!I19</f>
        <v>0.3125</v>
      </c>
      <c r="J19" s="326">
        <f>'P13'!J19</f>
        <v>0.3125</v>
      </c>
      <c r="K19" s="326">
        <f>'P13'!K19</f>
        <v>0.3125</v>
      </c>
      <c r="L19" s="326">
        <f>'P13'!L19</f>
        <v>0.3125</v>
      </c>
      <c r="M19" s="326">
        <f>'P13'!M19</f>
        <v>0</v>
      </c>
      <c r="N19" s="87"/>
      <c r="O19" s="83"/>
      <c r="P19" s="326">
        <f>'P13'!P19</f>
        <v>0</v>
      </c>
      <c r="Q19" s="326">
        <f>'P13'!Q19</f>
        <v>0.3125</v>
      </c>
      <c r="R19" s="326">
        <f>'P13'!R19</f>
        <v>0.3125</v>
      </c>
      <c r="S19" s="326">
        <f>'P13'!S19</f>
        <v>0.3125</v>
      </c>
      <c r="T19" s="326">
        <f>'P13'!T19</f>
        <v>0.3125</v>
      </c>
      <c r="U19" s="326">
        <f>'P13'!U19</f>
        <v>0.3125</v>
      </c>
      <c r="V19" s="326">
        <f>'P13'!V19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'P13'!G20</f>
        <v>0</v>
      </c>
      <c r="H20" s="326">
        <f>'P13'!H20</f>
        <v>0.1875</v>
      </c>
      <c r="I20" s="326">
        <f>'P13'!I20</f>
        <v>0.1875</v>
      </c>
      <c r="J20" s="326">
        <f>'P13'!J20</f>
        <v>0.1875</v>
      </c>
      <c r="K20" s="326">
        <f>'P13'!K20</f>
        <v>0.1875</v>
      </c>
      <c r="L20" s="326">
        <f>'P13'!L20</f>
        <v>0.1875</v>
      </c>
      <c r="M20" s="326">
        <f>'P13'!M20</f>
        <v>0</v>
      </c>
      <c r="N20" s="112"/>
      <c r="O20" s="245"/>
      <c r="P20" s="326">
        <f>'P13'!P20</f>
        <v>0</v>
      </c>
      <c r="Q20" s="326">
        <f>'P13'!Q20</f>
        <v>0.1875</v>
      </c>
      <c r="R20" s="326">
        <f>'P13'!R20</f>
        <v>0.1875</v>
      </c>
      <c r="S20" s="326">
        <f>'P13'!S20</f>
        <v>0.1875</v>
      </c>
      <c r="T20" s="326">
        <f>'P13'!T20</f>
        <v>0.1875</v>
      </c>
      <c r="U20" s="326">
        <f>'P13'!U20</f>
        <v>0.1875</v>
      </c>
      <c r="V20" s="326">
        <f>'P13'!V20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42919</v>
      </c>
      <c r="H23" s="175">
        <f t="shared" ref="H23:M23" si="4">G23+1</f>
        <v>42920</v>
      </c>
      <c r="I23" s="175">
        <f t="shared" si="4"/>
        <v>42921</v>
      </c>
      <c r="J23" s="175">
        <f t="shared" si="4"/>
        <v>42922</v>
      </c>
      <c r="K23" s="175">
        <f t="shared" si="4"/>
        <v>42923</v>
      </c>
      <c r="L23" s="175">
        <f t="shared" si="4"/>
        <v>42924</v>
      </c>
      <c r="M23" s="175">
        <f t="shared" si="4"/>
        <v>42925</v>
      </c>
      <c r="N23" s="176"/>
      <c r="O23" s="84"/>
      <c r="P23" s="175">
        <f>M23+1</f>
        <v>42926</v>
      </c>
      <c r="Q23" s="175">
        <f t="shared" ref="Q23:V23" si="5">P23+1</f>
        <v>42927</v>
      </c>
      <c r="R23" s="175">
        <f t="shared" si="5"/>
        <v>42928</v>
      </c>
      <c r="S23" s="175">
        <f t="shared" si="5"/>
        <v>42929</v>
      </c>
      <c r="T23" s="175">
        <f t="shared" si="5"/>
        <v>42930</v>
      </c>
      <c r="U23" s="175">
        <f t="shared" si="5"/>
        <v>42931</v>
      </c>
      <c r="V23" s="175">
        <f t="shared" si="5"/>
        <v>42932</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'P13'!AD25</f>
        <v>0.16666666666666666</v>
      </c>
      <c r="AD25" s="229">
        <f>MOD(ROUND(96*(AC25+Y48-Y42),0)/96,Instructions!C14)</f>
        <v>0.5</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'P13'!AD26</f>
        <v>0.16666666666666666</v>
      </c>
      <c r="AD26" s="229">
        <f>MOD(ROUND(96*(AC26+Y48-Y42),0)/96,20/24)</f>
        <v>0.5</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2.333333333333333</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2.333333333333333</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'P13'!AC37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'P13'!T51</f>
        <v>2.1666666666666665</v>
      </c>
      <c r="Q51" s="505"/>
      <c r="R51" s="207">
        <f>+Y54*AC38</f>
        <v>0.16666666666666666</v>
      </c>
      <c r="S51" s="207">
        <f>Y33+Y51</f>
        <v>0</v>
      </c>
      <c r="T51" s="494">
        <f t="shared" ref="T51:T56" si="19">P51+R51-S51</f>
        <v>2.333333333333333</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'P13'!T52</f>
        <v>2.1666666666666665</v>
      </c>
      <c r="Q52" s="493"/>
      <c r="R52" s="208">
        <f>+Y55*AC38</f>
        <v>0.16666666666666666</v>
      </c>
      <c r="S52" s="207">
        <f>Y34+Y35</f>
        <v>0</v>
      </c>
      <c r="T52" s="478">
        <f t="shared" si="19"/>
        <v>2.333333333333333</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MIN(Instructions!$C$7,'P13'!T53)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'P13'!T54</f>
        <v>0</v>
      </c>
      <c r="Q54" s="493"/>
      <c r="R54" s="208">
        <f>Y27</f>
        <v>0</v>
      </c>
      <c r="S54" s="208">
        <f>Y36</f>
        <v>0</v>
      </c>
      <c r="T54" s="478">
        <f t="shared" si="19"/>
        <v>0</v>
      </c>
      <c r="U54" s="480"/>
      <c r="V54" s="93"/>
      <c r="W54" s="247" t="s">
        <v>123</v>
      </c>
      <c r="X54" s="76"/>
      <c r="Y54" s="257">
        <f>IF(Instructions!A14=0,'P13'!Y54,FLOOR((ROUND(96*(AC25+Y48-Y42),0)/96)/Instructions!C14,1)/24)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'P13'!T55</f>
        <v>0</v>
      </c>
      <c r="Q55" s="493"/>
      <c r="R55" s="208">
        <f>Y28</f>
        <v>0</v>
      </c>
      <c r="S55" s="208">
        <f>Y37</f>
        <v>0</v>
      </c>
      <c r="T55" s="478">
        <f t="shared" si="19"/>
        <v>0</v>
      </c>
      <c r="U55" s="480"/>
      <c r="V55" s="93"/>
      <c r="W55" s="247" t="s">
        <v>124</v>
      </c>
      <c r="X55" s="76"/>
      <c r="Y55" s="257">
        <f>IF(Instructions!A14=0,'P13'!Y55,FLOOR((ROUND(96*(AC26+Y48-Y42),0)/96)/20,1/24))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'P13'!T56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'P13'!T57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'P13'!B59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'P13'!B61</f>
        <v>____________________________</v>
      </c>
      <c r="C61" s="93"/>
      <c r="D61" s="93"/>
      <c r="E61" s="93"/>
      <c r="F61" s="93"/>
      <c r="G61" s="93"/>
      <c r="H61" s="250"/>
      <c r="I61" s="250">
        <f>'P13'!I61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'P13'!B62</f>
        <v xml:space="preserve">    Employee Signature</v>
      </c>
      <c r="C62" s="96"/>
      <c r="D62" s="96"/>
      <c r="E62" s="96"/>
      <c r="F62" s="96"/>
      <c r="G62" s="96"/>
      <c r="H62" s="96"/>
      <c r="I62" s="260">
        <f>'P13'!I62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55" priority="12" stopIfTrue="1" operator="equal">
      <formula>TODAY()</formula>
    </cfRule>
  </conditionalFormatting>
  <conditionalFormatting sqref="O23:V23 G23:M23">
    <cfRule type="cellIs" dxfId="154" priority="11" stopIfTrue="1" operator="equal">
      <formula>TODAY()</formula>
    </cfRule>
  </conditionalFormatting>
  <conditionalFormatting sqref="G12:M13 P12:V13">
    <cfRule type="cellIs" dxfId="153" priority="10" stopIfTrue="1" operator="equal">
      <formula>0</formula>
    </cfRule>
  </conditionalFormatting>
  <conditionalFormatting sqref="G46:N46 P46:W46 Y46 Y44 Y32:Y42 Y30 Y24:Y28">
    <cfRule type="cellIs" dxfId="152" priority="9" stopIfTrue="1" operator="equal">
      <formula>0</formula>
    </cfRule>
  </conditionalFormatting>
  <conditionalFormatting sqref="T53:U53">
    <cfRule type="cellIs" dxfId="151" priority="8" stopIfTrue="1" operator="greaterThan">
      <formula>1</formula>
    </cfRule>
  </conditionalFormatting>
  <conditionalFormatting sqref="G18:M20 P18:V20">
    <cfRule type="cellIs" dxfId="150" priority="7" operator="equal">
      <formula>0</formula>
    </cfRule>
  </conditionalFormatting>
  <conditionalFormatting sqref="G48:M48 P48:V48">
    <cfRule type="expression" dxfId="149" priority="4">
      <formula>G48&lt;&gt;G18</formula>
    </cfRule>
  </conditionalFormatting>
  <conditionalFormatting sqref="P48:V48">
    <cfRule type="expression" dxfId="148" priority="5">
      <formula>P48&lt;&gt;P18</formula>
    </cfRule>
  </conditionalFormatting>
  <conditionalFormatting sqref="G30:L30 M24 N24:N28 N30 P30:U30 V24 P24 W24:W28 W30 W32:W42 P48:W48 G48:N48 G32:G35 N32:N42 G44:N44 P44:W44 G24">
    <cfRule type="cellIs" dxfId="147" priority="6" operator="equal">
      <formula>0</formula>
    </cfRule>
  </conditionalFormatting>
  <conditionalFormatting sqref="H24:L24 Q24:U24">
    <cfRule type="cellIs" dxfId="146" priority="3" operator="equal">
      <formula>0</formula>
    </cfRule>
  </conditionalFormatting>
  <conditionalFormatting sqref="M30">
    <cfRule type="cellIs" dxfId="145" priority="2" operator="equal">
      <formula>0</formula>
    </cfRule>
  </conditionalFormatting>
  <conditionalFormatting sqref="V30">
    <cfRule type="cellIs" dxfId="144" priority="1" operator="equal">
      <formula>0</formula>
    </cfRule>
  </conditionalFormatting>
  <pageMargins left="0.25" right="0.25" top="0.54" bottom="0.25" header="0" footer="0"/>
  <pageSetup scale="89" orientation="landscape"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42933</v>
      </c>
      <c r="H3" s="120">
        <f t="shared" si="0"/>
        <v>42934</v>
      </c>
      <c r="I3" s="120">
        <f t="shared" si="0"/>
        <v>42935</v>
      </c>
      <c r="J3" s="120">
        <f t="shared" si="0"/>
        <v>42936</v>
      </c>
      <c r="K3" s="120">
        <f t="shared" si="0"/>
        <v>42937</v>
      </c>
      <c r="L3" s="120">
        <f t="shared" si="0"/>
        <v>42938</v>
      </c>
      <c r="M3" s="120">
        <f t="shared" si="0"/>
        <v>42939</v>
      </c>
      <c r="N3" s="120"/>
      <c r="O3" s="120"/>
      <c r="P3" s="120">
        <f t="shared" si="1"/>
        <v>42940</v>
      </c>
      <c r="Q3" s="120">
        <f t="shared" si="1"/>
        <v>42941</v>
      </c>
      <c r="R3" s="120">
        <f t="shared" si="1"/>
        <v>42942</v>
      </c>
      <c r="S3" s="120">
        <f t="shared" si="1"/>
        <v>42943</v>
      </c>
      <c r="T3" s="120">
        <f t="shared" si="1"/>
        <v>42944</v>
      </c>
      <c r="U3" s="120">
        <f t="shared" si="1"/>
        <v>42945</v>
      </c>
      <c r="V3" s="120">
        <f t="shared" si="1"/>
        <v>42946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'P14'!R15+1</f>
        <v>15</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'P14'!L16</f>
        <v>2021</v>
      </c>
      <c r="M16" s="96"/>
      <c r="N16" s="97"/>
      <c r="O16" s="93"/>
      <c r="P16" s="143" t="s">
        <v>16</v>
      </c>
      <c r="Q16" s="113">
        <f>'P14'!Q16+14</f>
        <v>42933</v>
      </c>
      <c r="R16" s="144" t="s">
        <v>17</v>
      </c>
      <c r="S16" s="113">
        <f>Q16+13</f>
        <v>42946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'P14'!G18</f>
        <v>0</v>
      </c>
      <c r="H18" s="326">
        <f>'P14'!H18</f>
        <v>0.33333333333333331</v>
      </c>
      <c r="I18" s="326">
        <f>'P14'!I18</f>
        <v>0.33333333333333331</v>
      </c>
      <c r="J18" s="326">
        <f>'P14'!J18</f>
        <v>0.33333333333333331</v>
      </c>
      <c r="K18" s="326">
        <f>'P14'!K18</f>
        <v>0.33333333333333331</v>
      </c>
      <c r="L18" s="326">
        <f>'P14'!L18</f>
        <v>0.33333333333333331</v>
      </c>
      <c r="M18" s="326">
        <f>'P14'!M18</f>
        <v>0</v>
      </c>
      <c r="N18" s="231">
        <f>SUM(G18:M18)</f>
        <v>1.6666666666666665</v>
      </c>
      <c r="O18" s="79"/>
      <c r="P18" s="326">
        <f>'P14'!P18</f>
        <v>0</v>
      </c>
      <c r="Q18" s="326">
        <f>'P14'!Q18</f>
        <v>0.33333333333333331</v>
      </c>
      <c r="R18" s="326">
        <f>'P14'!R18</f>
        <v>0.33333333333333331</v>
      </c>
      <c r="S18" s="326">
        <f>'P14'!S18</f>
        <v>0.33333333333333331</v>
      </c>
      <c r="T18" s="326">
        <f>'P14'!T18</f>
        <v>0.33333333333333331</v>
      </c>
      <c r="U18" s="326">
        <f>'P14'!U18</f>
        <v>0.33333333333333331</v>
      </c>
      <c r="V18" s="326">
        <f>'P14'!V18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'P14'!G19</f>
        <v>0</v>
      </c>
      <c r="H19" s="326">
        <f>'P14'!H19</f>
        <v>0.3125</v>
      </c>
      <c r="I19" s="326">
        <f>'P14'!I19</f>
        <v>0.3125</v>
      </c>
      <c r="J19" s="326">
        <f>'P14'!J19</f>
        <v>0.3125</v>
      </c>
      <c r="K19" s="326">
        <f>'P14'!K19</f>
        <v>0.3125</v>
      </c>
      <c r="L19" s="326">
        <f>'P14'!L19</f>
        <v>0.3125</v>
      </c>
      <c r="M19" s="326">
        <f>'P14'!M19</f>
        <v>0</v>
      </c>
      <c r="N19" s="87"/>
      <c r="O19" s="83"/>
      <c r="P19" s="326">
        <f>'P14'!P19</f>
        <v>0</v>
      </c>
      <c r="Q19" s="326">
        <f>'P14'!Q19</f>
        <v>0.3125</v>
      </c>
      <c r="R19" s="326">
        <f>'P14'!R19</f>
        <v>0.3125</v>
      </c>
      <c r="S19" s="326">
        <f>'P14'!S19</f>
        <v>0.3125</v>
      </c>
      <c r="T19" s="326">
        <f>'P14'!T19</f>
        <v>0.3125</v>
      </c>
      <c r="U19" s="326">
        <f>'P14'!U19</f>
        <v>0.3125</v>
      </c>
      <c r="V19" s="326">
        <f>'P14'!V19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'P14'!G20</f>
        <v>0</v>
      </c>
      <c r="H20" s="326">
        <f>'P14'!H20</f>
        <v>0.1875</v>
      </c>
      <c r="I20" s="326">
        <f>'P14'!I20</f>
        <v>0.1875</v>
      </c>
      <c r="J20" s="326">
        <f>'P14'!J20</f>
        <v>0.1875</v>
      </c>
      <c r="K20" s="326">
        <f>'P14'!K20</f>
        <v>0.1875</v>
      </c>
      <c r="L20" s="326">
        <f>'P14'!L20</f>
        <v>0.1875</v>
      </c>
      <c r="M20" s="326">
        <f>'P14'!M20</f>
        <v>0</v>
      </c>
      <c r="N20" s="112"/>
      <c r="O20" s="245"/>
      <c r="P20" s="326">
        <f>'P14'!P20</f>
        <v>0</v>
      </c>
      <c r="Q20" s="326">
        <f>'P14'!Q20</f>
        <v>0.1875</v>
      </c>
      <c r="R20" s="326">
        <f>'P14'!R20</f>
        <v>0.1875</v>
      </c>
      <c r="S20" s="326">
        <f>'P14'!S20</f>
        <v>0.1875</v>
      </c>
      <c r="T20" s="326">
        <f>'P14'!T20</f>
        <v>0.1875</v>
      </c>
      <c r="U20" s="326">
        <f>'P14'!U20</f>
        <v>0.1875</v>
      </c>
      <c r="V20" s="326">
        <f>'P14'!V20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42933</v>
      </c>
      <c r="H23" s="175">
        <f t="shared" ref="H23:M23" si="4">G23+1</f>
        <v>42934</v>
      </c>
      <c r="I23" s="175">
        <f t="shared" si="4"/>
        <v>42935</v>
      </c>
      <c r="J23" s="175">
        <f t="shared" si="4"/>
        <v>42936</v>
      </c>
      <c r="K23" s="175">
        <f t="shared" si="4"/>
        <v>42937</v>
      </c>
      <c r="L23" s="175">
        <f t="shared" si="4"/>
        <v>42938</v>
      </c>
      <c r="M23" s="175">
        <f t="shared" si="4"/>
        <v>42939</v>
      </c>
      <c r="N23" s="176"/>
      <c r="O23" s="84"/>
      <c r="P23" s="175">
        <f>M23+1</f>
        <v>42940</v>
      </c>
      <c r="Q23" s="175">
        <f t="shared" ref="Q23:V23" si="5">P23+1</f>
        <v>42941</v>
      </c>
      <c r="R23" s="175">
        <f t="shared" si="5"/>
        <v>42942</v>
      </c>
      <c r="S23" s="175">
        <f t="shared" si="5"/>
        <v>42943</v>
      </c>
      <c r="T23" s="175">
        <f t="shared" si="5"/>
        <v>42944</v>
      </c>
      <c r="U23" s="175">
        <f t="shared" si="5"/>
        <v>42945</v>
      </c>
      <c r="V23" s="175">
        <f t="shared" si="5"/>
        <v>42946</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'P14'!AD25</f>
        <v>0.5</v>
      </c>
      <c r="AD25" s="229">
        <f>MOD(ROUND(96*(AC25+Y48-Y42),0)/96,Instructions!C14)</f>
        <v>0.5</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'P14'!AD26</f>
        <v>0.5</v>
      </c>
      <c r="AD26" s="229">
        <f>MOD(ROUND(96*(AC26+Y48-Y42),0)/96,20/24)</f>
        <v>0.5</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2.4999999999999996</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2.4999999999999996</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'P14'!AC37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'P14'!T51</f>
        <v>2.333333333333333</v>
      </c>
      <c r="Q51" s="505"/>
      <c r="R51" s="207">
        <f>+Y54*AC38</f>
        <v>0.16666666666666666</v>
      </c>
      <c r="S51" s="207">
        <f>Y33+Y51</f>
        <v>0</v>
      </c>
      <c r="T51" s="494">
        <f t="shared" ref="T51:T56" si="19">P51+R51-S51</f>
        <v>2.4999999999999996</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'P14'!T52</f>
        <v>2.333333333333333</v>
      </c>
      <c r="Q52" s="493"/>
      <c r="R52" s="208">
        <f>+Y55*AC38</f>
        <v>0.16666666666666666</v>
      </c>
      <c r="S52" s="207">
        <f>Y34+Y35</f>
        <v>0</v>
      </c>
      <c r="T52" s="478">
        <f t="shared" si="19"/>
        <v>2.4999999999999996</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MIN(Instructions!$C$7,'P14'!T53)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'P14'!T54</f>
        <v>0</v>
      </c>
      <c r="Q54" s="493"/>
      <c r="R54" s="208">
        <f>Y27</f>
        <v>0</v>
      </c>
      <c r="S54" s="208">
        <f>Y36</f>
        <v>0</v>
      </c>
      <c r="T54" s="478">
        <f t="shared" si="19"/>
        <v>0</v>
      </c>
      <c r="U54" s="480"/>
      <c r="V54" s="93"/>
      <c r="W54" s="247" t="s">
        <v>123</v>
      </c>
      <c r="X54" s="76"/>
      <c r="Y54" s="257">
        <f>IF(Instructions!A14=0,'P14'!Y54,FLOOR((ROUND(96*(AC25+Y48-Y42),0)/96)/Instructions!C14,1)/24)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'P14'!T55</f>
        <v>0</v>
      </c>
      <c r="Q55" s="493"/>
      <c r="R55" s="208">
        <f>Y28</f>
        <v>0</v>
      </c>
      <c r="S55" s="208">
        <f>Y37</f>
        <v>0</v>
      </c>
      <c r="T55" s="478">
        <f t="shared" si="19"/>
        <v>0</v>
      </c>
      <c r="U55" s="480"/>
      <c r="V55" s="93"/>
      <c r="W55" s="247" t="s">
        <v>124</v>
      </c>
      <c r="X55" s="76"/>
      <c r="Y55" s="257">
        <f>IF(Instructions!A14=0,'P14'!Y55,FLOOR((ROUND(96*(AC26+Y48-Y42),0)/96)/20,1/24))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'P14'!T56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'P14'!T57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'P14'!B59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'P14'!B61</f>
        <v>____________________________</v>
      </c>
      <c r="C61" s="93"/>
      <c r="D61" s="93"/>
      <c r="E61" s="93"/>
      <c r="F61" s="93"/>
      <c r="G61" s="93"/>
      <c r="H61" s="250"/>
      <c r="I61" s="250">
        <f>'P14'!I61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'P14'!B62</f>
        <v xml:space="preserve">    Employee Signature</v>
      </c>
      <c r="C62" s="96"/>
      <c r="D62" s="96"/>
      <c r="E62" s="96"/>
      <c r="F62" s="96"/>
      <c r="G62" s="96"/>
      <c r="H62" s="96"/>
      <c r="I62" s="260">
        <f>'P14'!I62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43" priority="12" stopIfTrue="1" operator="equal">
      <formula>TODAY()</formula>
    </cfRule>
  </conditionalFormatting>
  <conditionalFormatting sqref="O23:V23 G23:M23">
    <cfRule type="cellIs" dxfId="142" priority="11" stopIfTrue="1" operator="equal">
      <formula>TODAY()</formula>
    </cfRule>
  </conditionalFormatting>
  <conditionalFormatting sqref="G12:M13 P12:V13">
    <cfRule type="cellIs" dxfId="141" priority="10" stopIfTrue="1" operator="equal">
      <formula>0</formula>
    </cfRule>
  </conditionalFormatting>
  <conditionalFormatting sqref="G46:N46 P46:W46 Y46 Y44 Y32:Y42 Y30 Y24:Y28">
    <cfRule type="cellIs" dxfId="140" priority="9" stopIfTrue="1" operator="equal">
      <formula>0</formula>
    </cfRule>
  </conditionalFormatting>
  <conditionalFormatting sqref="T53:U53">
    <cfRule type="cellIs" dxfId="139" priority="8" stopIfTrue="1" operator="greaterThan">
      <formula>1</formula>
    </cfRule>
  </conditionalFormatting>
  <conditionalFormatting sqref="G18:M20 P18:V20">
    <cfRule type="cellIs" dxfId="138" priority="7" operator="equal">
      <formula>0</formula>
    </cfRule>
  </conditionalFormatting>
  <conditionalFormatting sqref="G48:M48 P48:V48">
    <cfRule type="expression" dxfId="137" priority="4">
      <formula>G48&lt;&gt;G18</formula>
    </cfRule>
  </conditionalFormatting>
  <conditionalFormatting sqref="P48:V48">
    <cfRule type="expression" dxfId="136" priority="5">
      <formula>P48&lt;&gt;P18</formula>
    </cfRule>
  </conditionalFormatting>
  <conditionalFormatting sqref="G30:L30 M24 N24:N28 N30 P30:U30 V24 P24 W24:W28 W30 W32:W42 P48:W48 G48:N48 G32:G35 N32:N42 G44:N44 P44:W44 G24">
    <cfRule type="cellIs" dxfId="135" priority="6" operator="equal">
      <formula>0</formula>
    </cfRule>
  </conditionalFormatting>
  <conditionalFormatting sqref="H24:L24 Q24:U24">
    <cfRule type="cellIs" dxfId="134" priority="3" operator="equal">
      <formula>0</formula>
    </cfRule>
  </conditionalFormatting>
  <conditionalFormatting sqref="M30">
    <cfRule type="cellIs" dxfId="133" priority="2" operator="equal">
      <formula>0</formula>
    </cfRule>
  </conditionalFormatting>
  <conditionalFormatting sqref="V30">
    <cfRule type="cellIs" dxfId="132" priority="1" operator="equal">
      <formula>0</formula>
    </cfRule>
  </conditionalFormatting>
  <pageMargins left="0.25" right="0.25" top="0.54" bottom="0.25" header="0" footer="0"/>
  <pageSetup scale="89" orientation="landscape"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42947</v>
      </c>
      <c r="H3" s="120">
        <f t="shared" si="0"/>
        <v>42948</v>
      </c>
      <c r="I3" s="120">
        <f t="shared" si="0"/>
        <v>42949</v>
      </c>
      <c r="J3" s="120">
        <f t="shared" si="0"/>
        <v>42950</v>
      </c>
      <c r="K3" s="120">
        <f t="shared" si="0"/>
        <v>42951</v>
      </c>
      <c r="L3" s="120">
        <f t="shared" si="0"/>
        <v>42952</v>
      </c>
      <c r="M3" s="120">
        <f t="shared" si="0"/>
        <v>42953</v>
      </c>
      <c r="N3" s="120"/>
      <c r="O3" s="120"/>
      <c r="P3" s="120">
        <f t="shared" si="1"/>
        <v>42954</v>
      </c>
      <c r="Q3" s="120">
        <f t="shared" si="1"/>
        <v>42955</v>
      </c>
      <c r="R3" s="120">
        <f t="shared" si="1"/>
        <v>42956</v>
      </c>
      <c r="S3" s="120">
        <f t="shared" si="1"/>
        <v>42957</v>
      </c>
      <c r="T3" s="120">
        <f t="shared" si="1"/>
        <v>42958</v>
      </c>
      <c r="U3" s="120">
        <f t="shared" si="1"/>
        <v>42959</v>
      </c>
      <c r="V3" s="120">
        <f t="shared" si="1"/>
        <v>42960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'P15'!R15+1</f>
        <v>16</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'P15'!L16</f>
        <v>2021</v>
      </c>
      <c r="M16" s="96"/>
      <c r="N16" s="97"/>
      <c r="O16" s="93"/>
      <c r="P16" s="143" t="s">
        <v>16</v>
      </c>
      <c r="Q16" s="113">
        <f>'P15'!Q16+14</f>
        <v>42947</v>
      </c>
      <c r="R16" s="144" t="s">
        <v>17</v>
      </c>
      <c r="S16" s="113">
        <f>Q16+13</f>
        <v>42960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'P15'!G18</f>
        <v>0</v>
      </c>
      <c r="H18" s="326">
        <f>'P15'!H18</f>
        <v>0.33333333333333331</v>
      </c>
      <c r="I18" s="326">
        <f>'P15'!I18</f>
        <v>0.33333333333333331</v>
      </c>
      <c r="J18" s="326">
        <f>'P15'!J18</f>
        <v>0.33333333333333331</v>
      </c>
      <c r="K18" s="326">
        <f>'P15'!K18</f>
        <v>0.33333333333333331</v>
      </c>
      <c r="L18" s="326">
        <f>'P15'!L18</f>
        <v>0.33333333333333331</v>
      </c>
      <c r="M18" s="326">
        <f>'P15'!M18</f>
        <v>0</v>
      </c>
      <c r="N18" s="231">
        <f>SUM(G18:M18)</f>
        <v>1.6666666666666665</v>
      </c>
      <c r="O18" s="79"/>
      <c r="P18" s="326">
        <f>'P15'!P18</f>
        <v>0</v>
      </c>
      <c r="Q18" s="326">
        <f>'P15'!Q18</f>
        <v>0.33333333333333331</v>
      </c>
      <c r="R18" s="326">
        <f>'P15'!R18</f>
        <v>0.33333333333333331</v>
      </c>
      <c r="S18" s="326">
        <f>'P15'!S18</f>
        <v>0.33333333333333331</v>
      </c>
      <c r="T18" s="326">
        <f>'P15'!T18</f>
        <v>0.33333333333333331</v>
      </c>
      <c r="U18" s="326">
        <f>'P15'!U18</f>
        <v>0.33333333333333331</v>
      </c>
      <c r="V18" s="326">
        <f>'P15'!V18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'P15'!G19</f>
        <v>0</v>
      </c>
      <c r="H19" s="326">
        <f>'P15'!H19</f>
        <v>0.3125</v>
      </c>
      <c r="I19" s="326">
        <f>'P15'!I19</f>
        <v>0.3125</v>
      </c>
      <c r="J19" s="326">
        <f>'P15'!J19</f>
        <v>0.3125</v>
      </c>
      <c r="K19" s="326">
        <f>'P15'!K19</f>
        <v>0.3125</v>
      </c>
      <c r="L19" s="326">
        <f>'P15'!L19</f>
        <v>0.3125</v>
      </c>
      <c r="M19" s="326">
        <f>'P15'!M19</f>
        <v>0</v>
      </c>
      <c r="N19" s="87"/>
      <c r="O19" s="83"/>
      <c r="P19" s="326">
        <f>'P15'!P19</f>
        <v>0</v>
      </c>
      <c r="Q19" s="326">
        <f>'P15'!Q19</f>
        <v>0.3125</v>
      </c>
      <c r="R19" s="326">
        <f>'P15'!R19</f>
        <v>0.3125</v>
      </c>
      <c r="S19" s="326">
        <f>'P15'!S19</f>
        <v>0.3125</v>
      </c>
      <c r="T19" s="326">
        <f>'P15'!T19</f>
        <v>0.3125</v>
      </c>
      <c r="U19" s="326">
        <f>'P15'!U19</f>
        <v>0.3125</v>
      </c>
      <c r="V19" s="326">
        <f>'P15'!V19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'P15'!G20</f>
        <v>0</v>
      </c>
      <c r="H20" s="326">
        <f>'P15'!H20</f>
        <v>0.1875</v>
      </c>
      <c r="I20" s="326">
        <f>'P15'!I20</f>
        <v>0.1875</v>
      </c>
      <c r="J20" s="326">
        <f>'P15'!J20</f>
        <v>0.1875</v>
      </c>
      <c r="K20" s="326">
        <f>'P15'!K20</f>
        <v>0.1875</v>
      </c>
      <c r="L20" s="326">
        <f>'P15'!L20</f>
        <v>0.1875</v>
      </c>
      <c r="M20" s="326">
        <f>'P15'!M20</f>
        <v>0</v>
      </c>
      <c r="N20" s="112"/>
      <c r="O20" s="245"/>
      <c r="P20" s="326">
        <f>'P15'!P20</f>
        <v>0</v>
      </c>
      <c r="Q20" s="326">
        <f>'P15'!Q20</f>
        <v>0.1875</v>
      </c>
      <c r="R20" s="326">
        <f>'P15'!R20</f>
        <v>0.1875</v>
      </c>
      <c r="S20" s="326">
        <f>'P15'!S20</f>
        <v>0.1875</v>
      </c>
      <c r="T20" s="326">
        <f>'P15'!T20</f>
        <v>0.1875</v>
      </c>
      <c r="U20" s="326">
        <f>'P15'!U20</f>
        <v>0.1875</v>
      </c>
      <c r="V20" s="326">
        <f>'P15'!V20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42947</v>
      </c>
      <c r="H23" s="175">
        <f t="shared" ref="H23:M23" si="4">G23+1</f>
        <v>42948</v>
      </c>
      <c r="I23" s="175">
        <f t="shared" si="4"/>
        <v>42949</v>
      </c>
      <c r="J23" s="175">
        <f t="shared" si="4"/>
        <v>42950</v>
      </c>
      <c r="K23" s="175">
        <f t="shared" si="4"/>
        <v>42951</v>
      </c>
      <c r="L23" s="175">
        <f t="shared" si="4"/>
        <v>42952</v>
      </c>
      <c r="M23" s="175">
        <f t="shared" si="4"/>
        <v>42953</v>
      </c>
      <c r="N23" s="176"/>
      <c r="O23" s="84"/>
      <c r="P23" s="175">
        <f>M23+1</f>
        <v>42954</v>
      </c>
      <c r="Q23" s="175">
        <f t="shared" ref="Q23:V23" si="5">P23+1</f>
        <v>42955</v>
      </c>
      <c r="R23" s="175">
        <f t="shared" si="5"/>
        <v>42956</v>
      </c>
      <c r="S23" s="175">
        <f t="shared" si="5"/>
        <v>42957</v>
      </c>
      <c r="T23" s="175">
        <f t="shared" si="5"/>
        <v>42958</v>
      </c>
      <c r="U23" s="175">
        <f t="shared" si="5"/>
        <v>42959</v>
      </c>
      <c r="V23" s="175">
        <f t="shared" si="5"/>
        <v>42960</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'P15'!AD25</f>
        <v>0.5</v>
      </c>
      <c r="AD25" s="229">
        <f>MOD(ROUND(96*(AC25+Y48-Y42),0)/96,Instructions!C14)</f>
        <v>0.5</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'P15'!AD26</f>
        <v>0.5</v>
      </c>
      <c r="AD26" s="229">
        <f>MOD(ROUND(96*(AC26+Y48-Y42),0)/96,20/24)</f>
        <v>0.5</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2.6666666666666661</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2.6666666666666661</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'P15'!AC37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'P15'!T51</f>
        <v>2.4999999999999996</v>
      </c>
      <c r="Q51" s="505"/>
      <c r="R51" s="207">
        <f>+Y54*AC38</f>
        <v>0.16666666666666666</v>
      </c>
      <c r="S51" s="207">
        <f>Y33+Y51</f>
        <v>0</v>
      </c>
      <c r="T51" s="494">
        <f t="shared" ref="T51:T56" si="19">P51+R51-S51</f>
        <v>2.6666666666666661</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'P15'!T52</f>
        <v>2.4999999999999996</v>
      </c>
      <c r="Q52" s="493"/>
      <c r="R52" s="208">
        <f>+Y55*AC38</f>
        <v>0.16666666666666666</v>
      </c>
      <c r="S52" s="207">
        <f>Y34+Y35</f>
        <v>0</v>
      </c>
      <c r="T52" s="478">
        <f t="shared" si="19"/>
        <v>2.6666666666666661</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MIN(Instructions!$C$7,'P15'!T53)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'P15'!T54</f>
        <v>0</v>
      </c>
      <c r="Q54" s="493"/>
      <c r="R54" s="208">
        <f>Y27</f>
        <v>0</v>
      </c>
      <c r="S54" s="208">
        <f>Y36</f>
        <v>0</v>
      </c>
      <c r="T54" s="478">
        <f t="shared" si="19"/>
        <v>0</v>
      </c>
      <c r="U54" s="480"/>
      <c r="V54" s="93"/>
      <c r="W54" s="247" t="s">
        <v>123</v>
      </c>
      <c r="X54" s="76"/>
      <c r="Y54" s="257">
        <f>IF(Instructions!A14=0,'P15'!Y54,FLOOR((ROUND(96*(AC25+Y48-Y42),0)/96)/Instructions!C14,1)/24)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'P15'!T55</f>
        <v>0</v>
      </c>
      <c r="Q55" s="493"/>
      <c r="R55" s="208">
        <f>Y28</f>
        <v>0</v>
      </c>
      <c r="S55" s="208">
        <f>Y37</f>
        <v>0</v>
      </c>
      <c r="T55" s="478">
        <f t="shared" si="19"/>
        <v>0</v>
      </c>
      <c r="U55" s="480"/>
      <c r="V55" s="93"/>
      <c r="W55" s="247" t="s">
        <v>124</v>
      </c>
      <c r="X55" s="76"/>
      <c r="Y55" s="257">
        <f>IF(Instructions!A14=0,'P15'!Y55,FLOOR((ROUND(96*(AC26+Y48-Y42),0)/96)/20,1/24))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'P15'!T56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'P15'!T57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'P15'!B59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'P15'!B61</f>
        <v>____________________________</v>
      </c>
      <c r="C61" s="93"/>
      <c r="D61" s="93"/>
      <c r="E61" s="93"/>
      <c r="F61" s="93"/>
      <c r="G61" s="93"/>
      <c r="H61" s="250"/>
      <c r="I61" s="250">
        <f>'P15'!I61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'P15'!B62</f>
        <v xml:space="preserve">    Employee Signature</v>
      </c>
      <c r="C62" s="96"/>
      <c r="D62" s="96"/>
      <c r="E62" s="96"/>
      <c r="F62" s="96"/>
      <c r="G62" s="96"/>
      <c r="H62" s="96"/>
      <c r="I62" s="260">
        <f>'P15'!I62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31" priority="12" stopIfTrue="1" operator="equal">
      <formula>TODAY()</formula>
    </cfRule>
  </conditionalFormatting>
  <conditionalFormatting sqref="O23:V23 G23:M23">
    <cfRule type="cellIs" dxfId="130" priority="11" stopIfTrue="1" operator="equal">
      <formula>TODAY()</formula>
    </cfRule>
  </conditionalFormatting>
  <conditionalFormatting sqref="G12:M13 P12:V13">
    <cfRule type="cellIs" dxfId="129" priority="10" stopIfTrue="1" operator="equal">
      <formula>0</formula>
    </cfRule>
  </conditionalFormatting>
  <conditionalFormatting sqref="G46:N46 P46:W46 Y46 Y44 Y32:Y42 Y30 Y24:Y28">
    <cfRule type="cellIs" dxfId="128" priority="9" stopIfTrue="1" operator="equal">
      <formula>0</formula>
    </cfRule>
  </conditionalFormatting>
  <conditionalFormatting sqref="T53:U53">
    <cfRule type="cellIs" dxfId="127" priority="8" stopIfTrue="1" operator="greaterThan">
      <formula>1</formula>
    </cfRule>
  </conditionalFormatting>
  <conditionalFormatting sqref="G18:M20 P18:V20">
    <cfRule type="cellIs" dxfId="126" priority="7" operator="equal">
      <formula>0</formula>
    </cfRule>
  </conditionalFormatting>
  <conditionalFormatting sqref="G48:M48 P48:V48">
    <cfRule type="expression" dxfId="125" priority="4">
      <formula>G48&lt;&gt;G18</formula>
    </cfRule>
  </conditionalFormatting>
  <conditionalFormatting sqref="P48:V48">
    <cfRule type="expression" dxfId="124" priority="5">
      <formula>P48&lt;&gt;P18</formula>
    </cfRule>
  </conditionalFormatting>
  <conditionalFormatting sqref="G30:L30 M24 N24:N28 N30 P30:U30 V24 P24 W24:W28 W30 W32:W42 P48:W48 G48:N48 G32:G35 N32:N42 G44:N44 P44:W44 G24">
    <cfRule type="cellIs" dxfId="123" priority="6" operator="equal">
      <formula>0</formula>
    </cfRule>
  </conditionalFormatting>
  <conditionalFormatting sqref="H24:L24 Q24:U24">
    <cfRule type="cellIs" dxfId="122" priority="3" operator="equal">
      <formula>0</formula>
    </cfRule>
  </conditionalFormatting>
  <conditionalFormatting sqref="M30">
    <cfRule type="cellIs" dxfId="121" priority="2" operator="equal">
      <formula>0</formula>
    </cfRule>
  </conditionalFormatting>
  <conditionalFormatting sqref="V30">
    <cfRule type="cellIs" dxfId="120" priority="1" operator="equal">
      <formula>0</formula>
    </cfRule>
  </conditionalFormatting>
  <pageMargins left="0.25" right="0.25" top="0.54" bottom="0.25" header="0" footer="0"/>
  <pageSetup scale="89" orientation="landscape"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42961</v>
      </c>
      <c r="H3" s="120">
        <f t="shared" si="0"/>
        <v>42962</v>
      </c>
      <c r="I3" s="120">
        <f t="shared" si="0"/>
        <v>42963</v>
      </c>
      <c r="J3" s="120">
        <f t="shared" si="0"/>
        <v>42964</v>
      </c>
      <c r="K3" s="120">
        <f t="shared" si="0"/>
        <v>42965</v>
      </c>
      <c r="L3" s="120">
        <f t="shared" si="0"/>
        <v>42966</v>
      </c>
      <c r="M3" s="120">
        <f t="shared" si="0"/>
        <v>42967</v>
      </c>
      <c r="N3" s="120"/>
      <c r="O3" s="120"/>
      <c r="P3" s="120">
        <f t="shared" si="1"/>
        <v>42968</v>
      </c>
      <c r="Q3" s="120">
        <f t="shared" si="1"/>
        <v>42969</v>
      </c>
      <c r="R3" s="120">
        <f t="shared" si="1"/>
        <v>42970</v>
      </c>
      <c r="S3" s="120">
        <f t="shared" si="1"/>
        <v>42971</v>
      </c>
      <c r="T3" s="120">
        <f t="shared" si="1"/>
        <v>42972</v>
      </c>
      <c r="U3" s="120">
        <f t="shared" si="1"/>
        <v>42973</v>
      </c>
      <c r="V3" s="120">
        <f t="shared" si="1"/>
        <v>42974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'P16'!R15+1</f>
        <v>17</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'P16'!L16</f>
        <v>2021</v>
      </c>
      <c r="M16" s="96"/>
      <c r="N16" s="97"/>
      <c r="O16" s="93"/>
      <c r="P16" s="143" t="s">
        <v>16</v>
      </c>
      <c r="Q16" s="113">
        <f>'P16'!Q16+14</f>
        <v>42961</v>
      </c>
      <c r="R16" s="144" t="s">
        <v>17</v>
      </c>
      <c r="S16" s="113">
        <f>Q16+13</f>
        <v>42974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'P16'!G18</f>
        <v>0</v>
      </c>
      <c r="H18" s="326">
        <f>'P16'!H18</f>
        <v>0.33333333333333331</v>
      </c>
      <c r="I18" s="326">
        <f>'P16'!I18</f>
        <v>0.33333333333333331</v>
      </c>
      <c r="J18" s="326">
        <f>'P16'!J18</f>
        <v>0.33333333333333331</v>
      </c>
      <c r="K18" s="326">
        <f>'P16'!K18</f>
        <v>0.33333333333333331</v>
      </c>
      <c r="L18" s="326">
        <f>'P16'!L18</f>
        <v>0.33333333333333331</v>
      </c>
      <c r="M18" s="326">
        <f>'P16'!M18</f>
        <v>0</v>
      </c>
      <c r="N18" s="231">
        <f>SUM(G18:M18)</f>
        <v>1.6666666666666665</v>
      </c>
      <c r="O18" s="79"/>
      <c r="P18" s="326">
        <f>'P16'!P18</f>
        <v>0</v>
      </c>
      <c r="Q18" s="326">
        <f>'P16'!Q18</f>
        <v>0.33333333333333331</v>
      </c>
      <c r="R18" s="326">
        <f>'P16'!R18</f>
        <v>0.33333333333333331</v>
      </c>
      <c r="S18" s="326">
        <f>'P16'!S18</f>
        <v>0.33333333333333331</v>
      </c>
      <c r="T18" s="326">
        <f>'P16'!T18</f>
        <v>0.33333333333333331</v>
      </c>
      <c r="U18" s="326">
        <f>'P16'!U18</f>
        <v>0.33333333333333331</v>
      </c>
      <c r="V18" s="326">
        <f>'P16'!V18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'P16'!G19</f>
        <v>0</v>
      </c>
      <c r="H19" s="326">
        <f>'P16'!H19</f>
        <v>0.3125</v>
      </c>
      <c r="I19" s="326">
        <f>'P16'!I19</f>
        <v>0.3125</v>
      </c>
      <c r="J19" s="326">
        <f>'P16'!J19</f>
        <v>0.3125</v>
      </c>
      <c r="K19" s="326">
        <f>'P16'!K19</f>
        <v>0.3125</v>
      </c>
      <c r="L19" s="326">
        <f>'P16'!L19</f>
        <v>0.3125</v>
      </c>
      <c r="M19" s="326">
        <f>'P16'!M19</f>
        <v>0</v>
      </c>
      <c r="N19" s="87"/>
      <c r="O19" s="83"/>
      <c r="P19" s="326">
        <f>'P16'!P19</f>
        <v>0</v>
      </c>
      <c r="Q19" s="326">
        <f>'P16'!Q19</f>
        <v>0.3125</v>
      </c>
      <c r="R19" s="326">
        <f>'P16'!R19</f>
        <v>0.3125</v>
      </c>
      <c r="S19" s="326">
        <f>'P16'!S19</f>
        <v>0.3125</v>
      </c>
      <c r="T19" s="326">
        <f>'P16'!T19</f>
        <v>0.3125</v>
      </c>
      <c r="U19" s="326">
        <f>'P16'!U19</f>
        <v>0.3125</v>
      </c>
      <c r="V19" s="326">
        <f>'P16'!V19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'P16'!G20</f>
        <v>0</v>
      </c>
      <c r="H20" s="326">
        <f>'P16'!H20</f>
        <v>0.1875</v>
      </c>
      <c r="I20" s="326">
        <f>'P16'!I20</f>
        <v>0.1875</v>
      </c>
      <c r="J20" s="326">
        <f>'P16'!J20</f>
        <v>0.1875</v>
      </c>
      <c r="K20" s="326">
        <f>'P16'!K20</f>
        <v>0.1875</v>
      </c>
      <c r="L20" s="326">
        <f>'P16'!L20</f>
        <v>0.1875</v>
      </c>
      <c r="M20" s="326">
        <f>'P16'!M20</f>
        <v>0</v>
      </c>
      <c r="N20" s="112"/>
      <c r="O20" s="245"/>
      <c r="P20" s="326">
        <f>'P16'!P20</f>
        <v>0</v>
      </c>
      <c r="Q20" s="326">
        <f>'P16'!Q20</f>
        <v>0.1875</v>
      </c>
      <c r="R20" s="326">
        <f>'P16'!R20</f>
        <v>0.1875</v>
      </c>
      <c r="S20" s="326">
        <f>'P16'!S20</f>
        <v>0.1875</v>
      </c>
      <c r="T20" s="326">
        <f>'P16'!T20</f>
        <v>0.1875</v>
      </c>
      <c r="U20" s="326">
        <f>'P16'!U20</f>
        <v>0.1875</v>
      </c>
      <c r="V20" s="326">
        <f>'P16'!V20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42961</v>
      </c>
      <c r="H23" s="175">
        <f t="shared" ref="H23:M23" si="4">G23+1</f>
        <v>42962</v>
      </c>
      <c r="I23" s="175">
        <f t="shared" si="4"/>
        <v>42963</v>
      </c>
      <c r="J23" s="175">
        <f t="shared" si="4"/>
        <v>42964</v>
      </c>
      <c r="K23" s="175">
        <f t="shared" si="4"/>
        <v>42965</v>
      </c>
      <c r="L23" s="175">
        <f t="shared" si="4"/>
        <v>42966</v>
      </c>
      <c r="M23" s="175">
        <f t="shared" si="4"/>
        <v>42967</v>
      </c>
      <c r="N23" s="176"/>
      <c r="O23" s="84"/>
      <c r="P23" s="175">
        <f>M23+1</f>
        <v>42968</v>
      </c>
      <c r="Q23" s="175">
        <f t="shared" ref="Q23:V23" si="5">P23+1</f>
        <v>42969</v>
      </c>
      <c r="R23" s="175">
        <f t="shared" si="5"/>
        <v>42970</v>
      </c>
      <c r="S23" s="175">
        <f t="shared" si="5"/>
        <v>42971</v>
      </c>
      <c r="T23" s="175">
        <f t="shared" si="5"/>
        <v>42972</v>
      </c>
      <c r="U23" s="175">
        <f t="shared" si="5"/>
        <v>42973</v>
      </c>
      <c r="V23" s="175">
        <f t="shared" si="5"/>
        <v>42974</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'P16'!AD25</f>
        <v>0.5</v>
      </c>
      <c r="AD25" s="229">
        <f>MOD(ROUND(96*(AC25+Y48-Y42),0)/96,Instructions!C14)</f>
        <v>0.5</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'P16'!AD26</f>
        <v>0.5</v>
      </c>
      <c r="AD26" s="229">
        <f>MOD(ROUND(96*(AC26+Y48-Y42),0)/96,20/24)</f>
        <v>0.5</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2.8333333333333326</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2.8333333333333326</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'P16'!AC37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'P16'!T51</f>
        <v>2.6666666666666661</v>
      </c>
      <c r="Q51" s="505"/>
      <c r="R51" s="207">
        <f>+Y54*AC38</f>
        <v>0.16666666666666666</v>
      </c>
      <c r="S51" s="207">
        <f>Y33+Y51</f>
        <v>0</v>
      </c>
      <c r="T51" s="494">
        <f t="shared" ref="T51:T56" si="19">P51+R51-S51</f>
        <v>2.8333333333333326</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'P16'!T52</f>
        <v>2.6666666666666661</v>
      </c>
      <c r="Q52" s="493"/>
      <c r="R52" s="208">
        <f>+Y55*AC38</f>
        <v>0.16666666666666666</v>
      </c>
      <c r="S52" s="207">
        <f>Y34+Y35</f>
        <v>0</v>
      </c>
      <c r="T52" s="478">
        <f t="shared" si="19"/>
        <v>2.8333333333333326</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MIN(Instructions!$C$7,'P16'!T53)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'P16'!T54</f>
        <v>0</v>
      </c>
      <c r="Q54" s="493"/>
      <c r="R54" s="208">
        <f>Y27</f>
        <v>0</v>
      </c>
      <c r="S54" s="208">
        <f>Y36</f>
        <v>0</v>
      </c>
      <c r="T54" s="478">
        <f t="shared" si="19"/>
        <v>0</v>
      </c>
      <c r="U54" s="480"/>
      <c r="V54" s="93"/>
      <c r="W54" s="247" t="s">
        <v>123</v>
      </c>
      <c r="X54" s="76"/>
      <c r="Y54" s="257">
        <f>IF(Instructions!A14=0,'P16'!Y54,FLOOR((ROUND(96*(AC25+Y48-Y42),0)/96)/Instructions!C14,1)/24)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'P16'!T55</f>
        <v>0</v>
      </c>
      <c r="Q55" s="493"/>
      <c r="R55" s="208">
        <f>Y28</f>
        <v>0</v>
      </c>
      <c r="S55" s="208">
        <f>Y37</f>
        <v>0</v>
      </c>
      <c r="T55" s="478">
        <f t="shared" si="19"/>
        <v>0</v>
      </c>
      <c r="U55" s="480"/>
      <c r="V55" s="93"/>
      <c r="W55" s="247" t="s">
        <v>124</v>
      </c>
      <c r="X55" s="76"/>
      <c r="Y55" s="257">
        <f>IF(Instructions!A14=0,'P16'!Y55,FLOOR((ROUND(96*(AC26+Y48-Y42),0)/96)/20,1/24))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'P16'!T56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'P16'!T57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'P16'!B59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'P16'!B61</f>
        <v>____________________________</v>
      </c>
      <c r="C61" s="93"/>
      <c r="D61" s="93"/>
      <c r="E61" s="93"/>
      <c r="F61" s="93"/>
      <c r="G61" s="93"/>
      <c r="H61" s="250"/>
      <c r="I61" s="250">
        <f>'P16'!I61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'P16'!B62</f>
        <v xml:space="preserve">    Employee Signature</v>
      </c>
      <c r="C62" s="96"/>
      <c r="D62" s="96"/>
      <c r="E62" s="96"/>
      <c r="F62" s="96"/>
      <c r="G62" s="96"/>
      <c r="H62" s="96"/>
      <c r="I62" s="260">
        <f>'P16'!I62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19" priority="12" stopIfTrue="1" operator="equal">
      <formula>TODAY()</formula>
    </cfRule>
  </conditionalFormatting>
  <conditionalFormatting sqref="O23:V23 G23:M23">
    <cfRule type="cellIs" dxfId="118" priority="11" stopIfTrue="1" operator="equal">
      <formula>TODAY()</formula>
    </cfRule>
  </conditionalFormatting>
  <conditionalFormatting sqref="G12:M13 P12:V13">
    <cfRule type="cellIs" dxfId="117" priority="10" stopIfTrue="1" operator="equal">
      <formula>0</formula>
    </cfRule>
  </conditionalFormatting>
  <conditionalFormatting sqref="G46:N46 P46:W46 Y46 Y44 Y32:Y42 Y30 Y24:Y28">
    <cfRule type="cellIs" dxfId="116" priority="9" stopIfTrue="1" operator="equal">
      <formula>0</formula>
    </cfRule>
  </conditionalFormatting>
  <conditionalFormatting sqref="T53:U53">
    <cfRule type="cellIs" dxfId="115" priority="8" stopIfTrue="1" operator="greaterThan">
      <formula>1</formula>
    </cfRule>
  </conditionalFormatting>
  <conditionalFormatting sqref="G18:M20 P18:V20">
    <cfRule type="cellIs" dxfId="114" priority="7" operator="equal">
      <formula>0</formula>
    </cfRule>
  </conditionalFormatting>
  <conditionalFormatting sqref="G48:M48 P48:V48">
    <cfRule type="expression" dxfId="113" priority="4">
      <formula>G48&lt;&gt;G18</formula>
    </cfRule>
  </conditionalFormatting>
  <conditionalFormatting sqref="P48:V48">
    <cfRule type="expression" dxfId="112" priority="5">
      <formula>P48&lt;&gt;P18</formula>
    </cfRule>
  </conditionalFormatting>
  <conditionalFormatting sqref="G30:L30 M24 N24:N28 N30 P30:U30 V24 P24 W24:W28 W30 W32:W42 P48:W48 G48:N48 G32:G35 N32:N42 G44:N44 P44:W44 G24">
    <cfRule type="cellIs" dxfId="111" priority="6" operator="equal">
      <formula>0</formula>
    </cfRule>
  </conditionalFormatting>
  <conditionalFormatting sqref="H24:L24 Q24:U24">
    <cfRule type="cellIs" dxfId="110" priority="3" operator="equal">
      <formula>0</formula>
    </cfRule>
  </conditionalFormatting>
  <conditionalFormatting sqref="M30">
    <cfRule type="cellIs" dxfId="109" priority="2" operator="equal">
      <formula>0</formula>
    </cfRule>
  </conditionalFormatting>
  <conditionalFormatting sqref="V30">
    <cfRule type="cellIs" dxfId="108" priority="1" operator="equal">
      <formula>0</formula>
    </cfRule>
  </conditionalFormatting>
  <pageMargins left="0.25" right="0.25" top="0.54" bottom="0.25" header="0" footer="0"/>
  <pageSetup scale="89"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42975</v>
      </c>
      <c r="H3" s="120">
        <f t="shared" si="0"/>
        <v>42976</v>
      </c>
      <c r="I3" s="120">
        <f t="shared" si="0"/>
        <v>42977</v>
      </c>
      <c r="J3" s="120">
        <f t="shared" si="0"/>
        <v>42978</v>
      </c>
      <c r="K3" s="120">
        <f t="shared" si="0"/>
        <v>42979</v>
      </c>
      <c r="L3" s="120">
        <f t="shared" si="0"/>
        <v>42980</v>
      </c>
      <c r="M3" s="120">
        <f t="shared" si="0"/>
        <v>42981</v>
      </c>
      <c r="N3" s="120"/>
      <c r="O3" s="120"/>
      <c r="P3" s="120">
        <f t="shared" si="1"/>
        <v>42982</v>
      </c>
      <c r="Q3" s="120">
        <f t="shared" si="1"/>
        <v>42983</v>
      </c>
      <c r="R3" s="120">
        <f t="shared" si="1"/>
        <v>42984</v>
      </c>
      <c r="S3" s="120">
        <f t="shared" si="1"/>
        <v>42985</v>
      </c>
      <c r="T3" s="120">
        <f t="shared" si="1"/>
        <v>42986</v>
      </c>
      <c r="U3" s="120">
        <f t="shared" si="1"/>
        <v>42987</v>
      </c>
      <c r="V3" s="120">
        <f t="shared" si="1"/>
        <v>42988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'P17'!R15+1</f>
        <v>18</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'P17'!L16</f>
        <v>2021</v>
      </c>
      <c r="M16" s="96"/>
      <c r="N16" s="97"/>
      <c r="O16" s="93"/>
      <c r="P16" s="143" t="s">
        <v>16</v>
      </c>
      <c r="Q16" s="113">
        <f>'P17'!Q16+14</f>
        <v>42975</v>
      </c>
      <c r="R16" s="144" t="s">
        <v>17</v>
      </c>
      <c r="S16" s="113">
        <f>Q16+13</f>
        <v>42988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'P17'!G18</f>
        <v>0</v>
      </c>
      <c r="H18" s="326">
        <f>'P17'!H18</f>
        <v>0.33333333333333331</v>
      </c>
      <c r="I18" s="326">
        <f>'P17'!I18</f>
        <v>0.33333333333333331</v>
      </c>
      <c r="J18" s="326">
        <f>'P17'!J18</f>
        <v>0.33333333333333331</v>
      </c>
      <c r="K18" s="326">
        <f>'P17'!K18</f>
        <v>0.33333333333333331</v>
      </c>
      <c r="L18" s="326">
        <f>'P17'!L18</f>
        <v>0.33333333333333331</v>
      </c>
      <c r="M18" s="326">
        <f>'P17'!M18</f>
        <v>0</v>
      </c>
      <c r="N18" s="231">
        <f>SUM(G18:M18)</f>
        <v>1.6666666666666665</v>
      </c>
      <c r="O18" s="79"/>
      <c r="P18" s="326">
        <f>'P17'!P18</f>
        <v>0</v>
      </c>
      <c r="Q18" s="326">
        <f>'P17'!Q18</f>
        <v>0.33333333333333331</v>
      </c>
      <c r="R18" s="326">
        <f>'P17'!R18</f>
        <v>0.33333333333333331</v>
      </c>
      <c r="S18" s="326">
        <f>'P17'!S18</f>
        <v>0.33333333333333331</v>
      </c>
      <c r="T18" s="326">
        <f>'P17'!T18</f>
        <v>0.33333333333333331</v>
      </c>
      <c r="U18" s="326">
        <f>'P17'!U18</f>
        <v>0.33333333333333331</v>
      </c>
      <c r="V18" s="326">
        <f>'P17'!V18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'P17'!G19</f>
        <v>0</v>
      </c>
      <c r="H19" s="326">
        <f>'P17'!H19</f>
        <v>0.3125</v>
      </c>
      <c r="I19" s="326">
        <f>'P17'!I19</f>
        <v>0.3125</v>
      </c>
      <c r="J19" s="326">
        <f>'P17'!J19</f>
        <v>0.3125</v>
      </c>
      <c r="K19" s="326">
        <f>'P17'!K19</f>
        <v>0.3125</v>
      </c>
      <c r="L19" s="326">
        <f>'P17'!L19</f>
        <v>0.3125</v>
      </c>
      <c r="M19" s="326">
        <f>'P17'!M19</f>
        <v>0</v>
      </c>
      <c r="N19" s="87"/>
      <c r="O19" s="83"/>
      <c r="P19" s="326">
        <f>'P17'!P19</f>
        <v>0</v>
      </c>
      <c r="Q19" s="326">
        <f>'P17'!Q19</f>
        <v>0.3125</v>
      </c>
      <c r="R19" s="326">
        <f>'P17'!R19</f>
        <v>0.3125</v>
      </c>
      <c r="S19" s="326">
        <f>'P17'!S19</f>
        <v>0.3125</v>
      </c>
      <c r="T19" s="326">
        <f>'P17'!T19</f>
        <v>0.3125</v>
      </c>
      <c r="U19" s="326">
        <f>'P17'!U19</f>
        <v>0.3125</v>
      </c>
      <c r="V19" s="326">
        <f>'P17'!V19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'P17'!G20</f>
        <v>0</v>
      </c>
      <c r="H20" s="326">
        <f>'P17'!H20</f>
        <v>0.1875</v>
      </c>
      <c r="I20" s="326">
        <f>'P17'!I20</f>
        <v>0.1875</v>
      </c>
      <c r="J20" s="326">
        <f>'P17'!J20</f>
        <v>0.1875</v>
      </c>
      <c r="K20" s="326">
        <f>'P17'!K20</f>
        <v>0.1875</v>
      </c>
      <c r="L20" s="326">
        <f>'P17'!L20</f>
        <v>0.1875</v>
      </c>
      <c r="M20" s="326">
        <f>'P17'!M20</f>
        <v>0</v>
      </c>
      <c r="N20" s="112"/>
      <c r="O20" s="245"/>
      <c r="P20" s="326">
        <f>'P17'!P20</f>
        <v>0</v>
      </c>
      <c r="Q20" s="326">
        <f>'P17'!Q20</f>
        <v>0.1875</v>
      </c>
      <c r="R20" s="326">
        <f>'P17'!R20</f>
        <v>0.1875</v>
      </c>
      <c r="S20" s="326">
        <f>'P17'!S20</f>
        <v>0.1875</v>
      </c>
      <c r="T20" s="326">
        <f>'P17'!T20</f>
        <v>0.1875</v>
      </c>
      <c r="U20" s="326">
        <f>'P17'!U20</f>
        <v>0.1875</v>
      </c>
      <c r="V20" s="326">
        <f>'P17'!V20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42975</v>
      </c>
      <c r="H23" s="175">
        <f t="shared" ref="H23:M23" si="4">G23+1</f>
        <v>42976</v>
      </c>
      <c r="I23" s="175">
        <f t="shared" si="4"/>
        <v>42977</v>
      </c>
      <c r="J23" s="175">
        <f t="shared" si="4"/>
        <v>42978</v>
      </c>
      <c r="K23" s="175">
        <f t="shared" si="4"/>
        <v>42979</v>
      </c>
      <c r="L23" s="175">
        <f t="shared" si="4"/>
        <v>42980</v>
      </c>
      <c r="M23" s="175">
        <f t="shared" si="4"/>
        <v>42981</v>
      </c>
      <c r="N23" s="176"/>
      <c r="O23" s="84"/>
      <c r="P23" s="175">
        <f>M23+1</f>
        <v>42982</v>
      </c>
      <c r="Q23" s="175">
        <f t="shared" ref="Q23:V23" si="5">P23+1</f>
        <v>42983</v>
      </c>
      <c r="R23" s="175">
        <f t="shared" si="5"/>
        <v>42984</v>
      </c>
      <c r="S23" s="175">
        <f t="shared" si="5"/>
        <v>42985</v>
      </c>
      <c r="T23" s="175">
        <f t="shared" si="5"/>
        <v>42986</v>
      </c>
      <c r="U23" s="175">
        <f t="shared" si="5"/>
        <v>42987</v>
      </c>
      <c r="V23" s="175">
        <f t="shared" si="5"/>
        <v>42988</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'P17'!AD25</f>
        <v>0.5</v>
      </c>
      <c r="AD25" s="229">
        <f>MOD(ROUND(96*(AC25+Y48-Y42),0)/96,Instructions!C14)</f>
        <v>0</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'P17'!AD26</f>
        <v>0.5</v>
      </c>
      <c r="AD26" s="229">
        <f>MOD(ROUND(96*(AC26+Y48-Y42),0)/96,20/24)</f>
        <v>0</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2.9999999999999991</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2.9999999999999991</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'P17'!AC37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v>0.33333333333333331</v>
      </c>
      <c r="R40" s="330"/>
      <c r="S40" s="330"/>
      <c r="T40" s="330"/>
      <c r="U40" s="330"/>
      <c r="V40" s="205"/>
      <c r="W40" s="234">
        <f t="shared" si="12"/>
        <v>0.33333333333333331</v>
      </c>
      <c r="X40" s="130"/>
      <c r="Y40" s="240">
        <f t="shared" si="9"/>
        <v>0.33333333333333331</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0.33333333333333331</v>
      </c>
      <c r="R44" s="353">
        <f t="shared" si="14"/>
        <v>0</v>
      </c>
      <c r="S44" s="353">
        <f t="shared" si="14"/>
        <v>0</v>
      </c>
      <c r="T44" s="353">
        <f t="shared" si="14"/>
        <v>0</v>
      </c>
      <c r="U44" s="353">
        <f t="shared" si="14"/>
        <v>0</v>
      </c>
      <c r="V44" s="353">
        <f t="shared" si="14"/>
        <v>0</v>
      </c>
      <c r="W44" s="235">
        <f t="shared" si="12"/>
        <v>0.33333333333333331</v>
      </c>
      <c r="X44" s="173"/>
      <c r="Y44" s="334">
        <f t="shared" si="9"/>
        <v>0.33333333333333331</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0.33333333333333331</v>
      </c>
      <c r="R46" s="259">
        <f t="shared" si="16"/>
        <v>0</v>
      </c>
      <c r="S46" s="259">
        <f t="shared" si="16"/>
        <v>0</v>
      </c>
      <c r="T46" s="259">
        <f t="shared" si="16"/>
        <v>0</v>
      </c>
      <c r="U46" s="259">
        <f t="shared" si="16"/>
        <v>0</v>
      </c>
      <c r="V46" s="259">
        <f t="shared" si="16"/>
        <v>0</v>
      </c>
      <c r="W46" s="240">
        <f>SUM(P46:V46)</f>
        <v>0.33333333333333331</v>
      </c>
      <c r="X46" s="156"/>
      <c r="Y46" s="240">
        <f t="shared" si="9"/>
        <v>0.33333333333333331</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0.33333333333333331</v>
      </c>
      <c r="R48" s="292">
        <f t="shared" si="18"/>
        <v>0</v>
      </c>
      <c r="S48" s="292">
        <f t="shared" si="18"/>
        <v>0</v>
      </c>
      <c r="T48" s="292">
        <f t="shared" si="18"/>
        <v>0</v>
      </c>
      <c r="U48" s="292">
        <f t="shared" si="18"/>
        <v>0</v>
      </c>
      <c r="V48" s="292">
        <f t="shared" si="18"/>
        <v>0</v>
      </c>
      <c r="W48" s="235">
        <f>SUM(P48:V48)</f>
        <v>0.33333333333333331</v>
      </c>
      <c r="X48" s="173"/>
      <c r="Y48" s="238">
        <f t="shared" si="9"/>
        <v>0.33333333333333331</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'P17'!T51</f>
        <v>2.8333333333333326</v>
      </c>
      <c r="Q51" s="505"/>
      <c r="R51" s="207">
        <f>+Y54*AC38</f>
        <v>0.16666666666666666</v>
      </c>
      <c r="S51" s="207">
        <f>Y33+Y51</f>
        <v>0</v>
      </c>
      <c r="T51" s="494">
        <f t="shared" ref="T51:T56" si="19">P51+R51-S51</f>
        <v>2.9999999999999991</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'P17'!T52</f>
        <v>2.8333333333333326</v>
      </c>
      <c r="Q52" s="493"/>
      <c r="R52" s="208">
        <f>+Y55*AC38</f>
        <v>0.16666666666666666</v>
      </c>
      <c r="S52" s="207">
        <f>Y34+Y35</f>
        <v>0</v>
      </c>
      <c r="T52" s="478">
        <f t="shared" si="19"/>
        <v>2.9999999999999991</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MIN(Instructions!$C$7,'P17'!T53)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'P17'!T54</f>
        <v>0</v>
      </c>
      <c r="Q54" s="493"/>
      <c r="R54" s="208">
        <f>Y27</f>
        <v>0</v>
      </c>
      <c r="S54" s="208">
        <f>Y36</f>
        <v>0</v>
      </c>
      <c r="T54" s="478">
        <f t="shared" si="19"/>
        <v>0</v>
      </c>
      <c r="U54" s="480"/>
      <c r="V54" s="93"/>
      <c r="W54" s="247" t="s">
        <v>123</v>
      </c>
      <c r="X54" s="76"/>
      <c r="Y54" s="257">
        <f>IF(Instructions!A14=0,'P17'!Y54,FLOOR((ROUND(96*(AC25+Y48-Y42),0)/96)/Instructions!C14,1)/24)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'P17'!T55</f>
        <v>0</v>
      </c>
      <c r="Q55" s="493"/>
      <c r="R55" s="208">
        <f>Y28</f>
        <v>0</v>
      </c>
      <c r="S55" s="208">
        <f>Y37</f>
        <v>0</v>
      </c>
      <c r="T55" s="478">
        <f t="shared" si="19"/>
        <v>0</v>
      </c>
      <c r="U55" s="480"/>
      <c r="V55" s="93"/>
      <c r="W55" s="247" t="s">
        <v>124</v>
      </c>
      <c r="X55" s="76"/>
      <c r="Y55" s="257">
        <f>IF(Instructions!A14=0,'P17'!Y55,FLOOR((ROUND(96*(AC26+Y48-Y42),0)/96)/20,1/24))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'P17'!T56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'P17'!T57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'P17'!B59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'P17'!B61</f>
        <v>____________________________</v>
      </c>
      <c r="C61" s="93"/>
      <c r="D61" s="93"/>
      <c r="E61" s="93"/>
      <c r="F61" s="93"/>
      <c r="G61" s="93"/>
      <c r="H61" s="250"/>
      <c r="I61" s="250">
        <f>'P17'!I61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'P17'!B62</f>
        <v xml:space="preserve">    Employee Signature</v>
      </c>
      <c r="C62" s="96"/>
      <c r="D62" s="96"/>
      <c r="E62" s="96"/>
      <c r="F62" s="96"/>
      <c r="G62" s="96"/>
      <c r="H62" s="96"/>
      <c r="I62" s="260">
        <f>'P17'!I62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0.33333333333333331</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07" priority="12" stopIfTrue="1" operator="equal">
      <formula>TODAY()</formula>
    </cfRule>
  </conditionalFormatting>
  <conditionalFormatting sqref="O23:V23 G23:M23">
    <cfRule type="cellIs" dxfId="106" priority="11" stopIfTrue="1" operator="equal">
      <formula>TODAY()</formula>
    </cfRule>
  </conditionalFormatting>
  <conditionalFormatting sqref="G12:M13 P12:V13">
    <cfRule type="cellIs" dxfId="105" priority="10" stopIfTrue="1" operator="equal">
      <formula>0</formula>
    </cfRule>
  </conditionalFormatting>
  <conditionalFormatting sqref="G46:N46 P46:W46 Y46 Y44 Y32:Y42 Y30 Y24:Y28">
    <cfRule type="cellIs" dxfId="104" priority="9" stopIfTrue="1" operator="equal">
      <formula>0</formula>
    </cfRule>
  </conditionalFormatting>
  <conditionalFormatting sqref="T53:U53">
    <cfRule type="cellIs" dxfId="103" priority="8" stopIfTrue="1" operator="greaterThan">
      <formula>1</formula>
    </cfRule>
  </conditionalFormatting>
  <conditionalFormatting sqref="G18:M20 P18:V20">
    <cfRule type="cellIs" dxfId="102" priority="7" operator="equal">
      <formula>0</formula>
    </cfRule>
  </conditionalFormatting>
  <conditionalFormatting sqref="G48:M48 P48:V48">
    <cfRule type="expression" dxfId="101" priority="4">
      <formula>G48&lt;&gt;G18</formula>
    </cfRule>
  </conditionalFormatting>
  <conditionalFormatting sqref="P48:V48">
    <cfRule type="expression" dxfId="100" priority="5">
      <formula>P48&lt;&gt;P18</formula>
    </cfRule>
  </conditionalFormatting>
  <conditionalFormatting sqref="G30:L30 M24 N24:N28 N30 P30:U30 V24 P24 W24:W28 W30 W32:W42 P48:W48 G48:N48 G32:G35 N32:N42 G44:N44 P44:W44 G24">
    <cfRule type="cellIs" dxfId="99" priority="6" operator="equal">
      <formula>0</formula>
    </cfRule>
  </conditionalFormatting>
  <conditionalFormatting sqref="H24:L24 Q24:U24">
    <cfRule type="cellIs" dxfId="98" priority="3" operator="equal">
      <formula>0</formula>
    </cfRule>
  </conditionalFormatting>
  <conditionalFormatting sqref="M30">
    <cfRule type="cellIs" dxfId="97" priority="2" operator="equal">
      <formula>0</formula>
    </cfRule>
  </conditionalFormatting>
  <conditionalFormatting sqref="V30">
    <cfRule type="cellIs" dxfId="96" priority="1" operator="equal">
      <formula>0</formula>
    </cfRule>
  </conditionalFormatting>
  <pageMargins left="0.25" right="0.25" top="0.54" bottom="0.25" header="0" footer="0"/>
  <pageSetup scale="89" orientation="landscape"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42989</v>
      </c>
      <c r="H3" s="120">
        <f t="shared" si="0"/>
        <v>42990</v>
      </c>
      <c r="I3" s="120">
        <f t="shared" si="0"/>
        <v>42991</v>
      </c>
      <c r="J3" s="120">
        <f t="shared" si="0"/>
        <v>42992</v>
      </c>
      <c r="K3" s="120">
        <f t="shared" si="0"/>
        <v>42993</v>
      </c>
      <c r="L3" s="120">
        <f t="shared" si="0"/>
        <v>42994</v>
      </c>
      <c r="M3" s="120">
        <f t="shared" si="0"/>
        <v>42995</v>
      </c>
      <c r="N3" s="120"/>
      <c r="O3" s="120"/>
      <c r="P3" s="120">
        <f t="shared" si="1"/>
        <v>42996</v>
      </c>
      <c r="Q3" s="120">
        <f t="shared" si="1"/>
        <v>42997</v>
      </c>
      <c r="R3" s="120">
        <f t="shared" si="1"/>
        <v>42998</v>
      </c>
      <c r="S3" s="120">
        <f t="shared" si="1"/>
        <v>42999</v>
      </c>
      <c r="T3" s="120">
        <f t="shared" si="1"/>
        <v>43000</v>
      </c>
      <c r="U3" s="120">
        <f t="shared" si="1"/>
        <v>43001</v>
      </c>
      <c r="V3" s="120">
        <f t="shared" si="1"/>
        <v>43002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'P18'!R15+1</f>
        <v>19</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'P18'!L16</f>
        <v>2021</v>
      </c>
      <c r="M16" s="96"/>
      <c r="N16" s="97"/>
      <c r="O16" s="93"/>
      <c r="P16" s="143" t="s">
        <v>16</v>
      </c>
      <c r="Q16" s="113">
        <f>'P18'!Q16+14</f>
        <v>42989</v>
      </c>
      <c r="R16" s="144" t="s">
        <v>17</v>
      </c>
      <c r="S16" s="113">
        <f>Q16+13</f>
        <v>43002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'P18'!G18</f>
        <v>0</v>
      </c>
      <c r="H18" s="326">
        <f>'P18'!H18</f>
        <v>0.33333333333333331</v>
      </c>
      <c r="I18" s="326">
        <f>'P18'!I18</f>
        <v>0.33333333333333331</v>
      </c>
      <c r="J18" s="326">
        <f>'P18'!J18</f>
        <v>0.33333333333333331</v>
      </c>
      <c r="K18" s="326">
        <f>'P18'!K18</f>
        <v>0.33333333333333331</v>
      </c>
      <c r="L18" s="326">
        <f>'P18'!L18</f>
        <v>0.33333333333333331</v>
      </c>
      <c r="M18" s="326">
        <f>'P18'!M18</f>
        <v>0</v>
      </c>
      <c r="N18" s="231">
        <f>SUM(G18:M18)</f>
        <v>1.6666666666666665</v>
      </c>
      <c r="O18" s="79"/>
      <c r="P18" s="326">
        <f>'P18'!P18</f>
        <v>0</v>
      </c>
      <c r="Q18" s="326">
        <f>'P18'!Q18</f>
        <v>0.33333333333333331</v>
      </c>
      <c r="R18" s="326">
        <f>'P18'!R18</f>
        <v>0.33333333333333331</v>
      </c>
      <c r="S18" s="326">
        <f>'P18'!S18</f>
        <v>0.33333333333333331</v>
      </c>
      <c r="T18" s="326">
        <f>'P18'!T18</f>
        <v>0.33333333333333331</v>
      </c>
      <c r="U18" s="326">
        <f>'P18'!U18</f>
        <v>0.33333333333333331</v>
      </c>
      <c r="V18" s="326">
        <f>'P18'!V18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'P18'!G19</f>
        <v>0</v>
      </c>
      <c r="H19" s="326">
        <f>'P18'!H19</f>
        <v>0.3125</v>
      </c>
      <c r="I19" s="326">
        <f>'P18'!I19</f>
        <v>0.3125</v>
      </c>
      <c r="J19" s="326">
        <f>'P18'!J19</f>
        <v>0.3125</v>
      </c>
      <c r="K19" s="326">
        <f>'P18'!K19</f>
        <v>0.3125</v>
      </c>
      <c r="L19" s="326">
        <f>'P18'!L19</f>
        <v>0.3125</v>
      </c>
      <c r="M19" s="326">
        <f>'P18'!M19</f>
        <v>0</v>
      </c>
      <c r="N19" s="87"/>
      <c r="O19" s="83"/>
      <c r="P19" s="326">
        <f>'P18'!P19</f>
        <v>0</v>
      </c>
      <c r="Q19" s="326">
        <f>'P18'!Q19</f>
        <v>0.3125</v>
      </c>
      <c r="R19" s="326">
        <f>'P18'!R19</f>
        <v>0.3125</v>
      </c>
      <c r="S19" s="326">
        <f>'P18'!S19</f>
        <v>0.3125</v>
      </c>
      <c r="T19" s="326">
        <f>'P18'!T19</f>
        <v>0.3125</v>
      </c>
      <c r="U19" s="326">
        <f>'P18'!U19</f>
        <v>0.3125</v>
      </c>
      <c r="V19" s="326">
        <f>'P18'!V19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'P18'!G20</f>
        <v>0</v>
      </c>
      <c r="H20" s="326">
        <f>'P18'!H20</f>
        <v>0.1875</v>
      </c>
      <c r="I20" s="326">
        <f>'P18'!I20</f>
        <v>0.1875</v>
      </c>
      <c r="J20" s="326">
        <f>'P18'!J20</f>
        <v>0.1875</v>
      </c>
      <c r="K20" s="326">
        <f>'P18'!K20</f>
        <v>0.1875</v>
      </c>
      <c r="L20" s="326">
        <f>'P18'!L20</f>
        <v>0.1875</v>
      </c>
      <c r="M20" s="326">
        <f>'P18'!M20</f>
        <v>0</v>
      </c>
      <c r="N20" s="112"/>
      <c r="O20" s="245"/>
      <c r="P20" s="326">
        <f>'P18'!P20</f>
        <v>0</v>
      </c>
      <c r="Q20" s="326">
        <f>'P18'!Q20</f>
        <v>0.1875</v>
      </c>
      <c r="R20" s="326">
        <f>'P18'!R20</f>
        <v>0.1875</v>
      </c>
      <c r="S20" s="326">
        <f>'P18'!S20</f>
        <v>0.1875</v>
      </c>
      <c r="T20" s="326">
        <f>'P18'!T20</f>
        <v>0.1875</v>
      </c>
      <c r="U20" s="326">
        <f>'P18'!U20</f>
        <v>0.1875</v>
      </c>
      <c r="V20" s="326">
        <f>'P18'!V20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42989</v>
      </c>
      <c r="H23" s="175">
        <f t="shared" ref="H23:M23" si="4">G23+1</f>
        <v>42990</v>
      </c>
      <c r="I23" s="175">
        <f t="shared" si="4"/>
        <v>42991</v>
      </c>
      <c r="J23" s="175">
        <f t="shared" si="4"/>
        <v>42992</v>
      </c>
      <c r="K23" s="175">
        <f t="shared" si="4"/>
        <v>42993</v>
      </c>
      <c r="L23" s="175">
        <f t="shared" si="4"/>
        <v>42994</v>
      </c>
      <c r="M23" s="175">
        <f t="shared" si="4"/>
        <v>42995</v>
      </c>
      <c r="N23" s="176"/>
      <c r="O23" s="84"/>
      <c r="P23" s="175">
        <f>M23+1</f>
        <v>42996</v>
      </c>
      <c r="Q23" s="175">
        <f t="shared" ref="Q23:V23" si="5">P23+1</f>
        <v>42997</v>
      </c>
      <c r="R23" s="175">
        <f t="shared" si="5"/>
        <v>42998</v>
      </c>
      <c r="S23" s="175">
        <f t="shared" si="5"/>
        <v>42999</v>
      </c>
      <c r="T23" s="175">
        <f t="shared" si="5"/>
        <v>43000</v>
      </c>
      <c r="U23" s="175">
        <f t="shared" si="5"/>
        <v>43001</v>
      </c>
      <c r="V23" s="175">
        <f t="shared" si="5"/>
        <v>43002</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'P18'!AD25</f>
        <v>0</v>
      </c>
      <c r="AD25" s="229">
        <f>MOD(ROUND(96*(AC25+Y48-Y42),0)/96,Instructions!C14)</f>
        <v>0</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'P18'!AD26</f>
        <v>0</v>
      </c>
      <c r="AD26" s="229">
        <f>MOD(ROUND(96*(AC26+Y48-Y42),0)/96,20/24)</f>
        <v>0</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3.1666666666666656</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3.1666666666666656</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'P18'!AC37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'P18'!T51</f>
        <v>2.9999999999999991</v>
      </c>
      <c r="Q51" s="505"/>
      <c r="R51" s="207">
        <f>+Y54*AC38</f>
        <v>0.16666666666666666</v>
      </c>
      <c r="S51" s="207">
        <f>Y33+Y51</f>
        <v>0</v>
      </c>
      <c r="T51" s="494">
        <f t="shared" ref="T51:T56" si="19">P51+R51-S51</f>
        <v>3.1666666666666656</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'P18'!T52</f>
        <v>2.9999999999999991</v>
      </c>
      <c r="Q52" s="493"/>
      <c r="R52" s="208">
        <f>+Y55*AC38</f>
        <v>0.16666666666666666</v>
      </c>
      <c r="S52" s="207">
        <f>Y34+Y35</f>
        <v>0</v>
      </c>
      <c r="T52" s="478">
        <f t="shared" si="19"/>
        <v>3.1666666666666656</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MIN(Instructions!$C$7,'P18'!T53)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'P18'!T54</f>
        <v>0</v>
      </c>
      <c r="Q54" s="493"/>
      <c r="R54" s="208">
        <f>Y27</f>
        <v>0</v>
      </c>
      <c r="S54" s="208">
        <f>Y36</f>
        <v>0</v>
      </c>
      <c r="T54" s="478">
        <f t="shared" si="19"/>
        <v>0</v>
      </c>
      <c r="U54" s="480"/>
      <c r="V54" s="93"/>
      <c r="W54" s="247" t="s">
        <v>123</v>
      </c>
      <c r="X54" s="76"/>
      <c r="Y54" s="257">
        <f>IF(Instructions!A14=0,'P18'!Y54,FLOOR((ROUND(96*(AC25+Y48-Y42),0)/96)/Instructions!C14,1)/24)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'P18'!T55</f>
        <v>0</v>
      </c>
      <c r="Q55" s="493"/>
      <c r="R55" s="208">
        <f>Y28</f>
        <v>0</v>
      </c>
      <c r="S55" s="208">
        <f>Y37</f>
        <v>0</v>
      </c>
      <c r="T55" s="478">
        <f t="shared" si="19"/>
        <v>0</v>
      </c>
      <c r="U55" s="480"/>
      <c r="V55" s="93"/>
      <c r="W55" s="247" t="s">
        <v>124</v>
      </c>
      <c r="X55" s="76"/>
      <c r="Y55" s="257">
        <f>IF(Instructions!A14=0,'P18'!Y55,FLOOR((ROUND(96*(AC26+Y48-Y42),0)/96)/20,1/24))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'P18'!T56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'P18'!T57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'P18'!B59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'P18'!B61</f>
        <v>____________________________</v>
      </c>
      <c r="C61" s="93"/>
      <c r="D61" s="93"/>
      <c r="E61" s="93"/>
      <c r="F61" s="93"/>
      <c r="G61" s="93"/>
      <c r="H61" s="250"/>
      <c r="I61" s="250">
        <f>'P18'!I61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'P18'!B62</f>
        <v xml:space="preserve">    Employee Signature</v>
      </c>
      <c r="C62" s="96"/>
      <c r="D62" s="96"/>
      <c r="E62" s="96"/>
      <c r="F62" s="96"/>
      <c r="G62" s="96"/>
      <c r="H62" s="96"/>
      <c r="I62" s="260">
        <f>'P18'!I62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95" priority="12" stopIfTrue="1" operator="equal">
      <formula>TODAY()</formula>
    </cfRule>
  </conditionalFormatting>
  <conditionalFormatting sqref="O23:V23 G23:M23">
    <cfRule type="cellIs" dxfId="94" priority="11" stopIfTrue="1" operator="equal">
      <formula>TODAY()</formula>
    </cfRule>
  </conditionalFormatting>
  <conditionalFormatting sqref="G12:M13 P12:V13">
    <cfRule type="cellIs" dxfId="93" priority="10" stopIfTrue="1" operator="equal">
      <formula>0</formula>
    </cfRule>
  </conditionalFormatting>
  <conditionalFormatting sqref="G46:N46 P46:W46 Y46 Y44 Y32:Y42 Y30 Y24:Y28">
    <cfRule type="cellIs" dxfId="92" priority="9" stopIfTrue="1" operator="equal">
      <formula>0</formula>
    </cfRule>
  </conditionalFormatting>
  <conditionalFormatting sqref="T53:U53">
    <cfRule type="cellIs" dxfId="91" priority="8" stopIfTrue="1" operator="greaterThan">
      <formula>1</formula>
    </cfRule>
  </conditionalFormatting>
  <conditionalFormatting sqref="G18:M20 P18:V20">
    <cfRule type="cellIs" dxfId="90" priority="7" operator="equal">
      <formula>0</formula>
    </cfRule>
  </conditionalFormatting>
  <conditionalFormatting sqref="G48:M48 P48:V48">
    <cfRule type="expression" dxfId="89" priority="4">
      <formula>G48&lt;&gt;G18</formula>
    </cfRule>
  </conditionalFormatting>
  <conditionalFormatting sqref="P48:V48">
    <cfRule type="expression" dxfId="88" priority="5">
      <formula>P48&lt;&gt;P18</formula>
    </cfRule>
  </conditionalFormatting>
  <conditionalFormatting sqref="G30:L30 M24 N24:N28 N30 P30:U30 V24 P24 W24:W28 W30 W32:W42 P48:W48 G48:N48 G32:G35 N32:N42 G44:N44 P44:W44 G24">
    <cfRule type="cellIs" dxfId="87" priority="6" operator="equal">
      <formula>0</formula>
    </cfRule>
  </conditionalFormatting>
  <conditionalFormatting sqref="H24:L24 Q24:U24">
    <cfRule type="cellIs" dxfId="86" priority="3" operator="equal">
      <formula>0</formula>
    </cfRule>
  </conditionalFormatting>
  <conditionalFormatting sqref="M30">
    <cfRule type="cellIs" dxfId="85" priority="2" operator="equal">
      <formula>0</formula>
    </cfRule>
  </conditionalFormatting>
  <conditionalFormatting sqref="V30">
    <cfRule type="cellIs" dxfId="84" priority="1" operator="equal">
      <formula>0</formula>
    </cfRule>
  </conditionalFormatting>
  <pageMargins left="0.25" right="0.25" top="0.54" bottom="0.25" header="0" footer="0"/>
  <pageSetup scale="89" orientation="landscape"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43003</v>
      </c>
      <c r="H3" s="120">
        <f t="shared" si="0"/>
        <v>43004</v>
      </c>
      <c r="I3" s="120">
        <f t="shared" si="0"/>
        <v>43005</v>
      </c>
      <c r="J3" s="120">
        <f t="shared" si="0"/>
        <v>43006</v>
      </c>
      <c r="K3" s="120">
        <f t="shared" si="0"/>
        <v>43007</v>
      </c>
      <c r="L3" s="120">
        <f t="shared" si="0"/>
        <v>43008</v>
      </c>
      <c r="M3" s="120">
        <f t="shared" si="0"/>
        <v>43009</v>
      </c>
      <c r="N3" s="120"/>
      <c r="O3" s="120"/>
      <c r="P3" s="120">
        <f t="shared" si="1"/>
        <v>43010</v>
      </c>
      <c r="Q3" s="120">
        <f t="shared" si="1"/>
        <v>43011</v>
      </c>
      <c r="R3" s="120">
        <f t="shared" si="1"/>
        <v>43012</v>
      </c>
      <c r="S3" s="120">
        <f t="shared" si="1"/>
        <v>43013</v>
      </c>
      <c r="T3" s="120">
        <f t="shared" si="1"/>
        <v>43014</v>
      </c>
      <c r="U3" s="120">
        <f t="shared" si="1"/>
        <v>43015</v>
      </c>
      <c r="V3" s="120">
        <f t="shared" si="1"/>
        <v>43016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'P19'!R15+1</f>
        <v>20</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'P19'!L16</f>
        <v>2021</v>
      </c>
      <c r="M16" s="96"/>
      <c r="N16" s="97"/>
      <c r="O16" s="93"/>
      <c r="P16" s="143" t="s">
        <v>16</v>
      </c>
      <c r="Q16" s="113">
        <f>'P19'!Q16+14</f>
        <v>43003</v>
      </c>
      <c r="R16" s="144" t="s">
        <v>17</v>
      </c>
      <c r="S16" s="113">
        <f>Q16+13</f>
        <v>43016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'P19'!G18</f>
        <v>0</v>
      </c>
      <c r="H18" s="326">
        <f>'P19'!H18</f>
        <v>0.33333333333333331</v>
      </c>
      <c r="I18" s="326">
        <f>'P19'!I18</f>
        <v>0.33333333333333331</v>
      </c>
      <c r="J18" s="326">
        <f>'P19'!J18</f>
        <v>0.33333333333333331</v>
      </c>
      <c r="K18" s="326">
        <f>'P19'!K18</f>
        <v>0.33333333333333331</v>
      </c>
      <c r="L18" s="326">
        <f>'P19'!L18</f>
        <v>0.33333333333333331</v>
      </c>
      <c r="M18" s="326">
        <f>'P19'!M18</f>
        <v>0</v>
      </c>
      <c r="N18" s="231">
        <f>SUM(G18:M18)</f>
        <v>1.6666666666666665</v>
      </c>
      <c r="O18" s="79"/>
      <c r="P18" s="326">
        <f>'P19'!P18</f>
        <v>0</v>
      </c>
      <c r="Q18" s="326">
        <f>'P19'!Q18</f>
        <v>0.33333333333333331</v>
      </c>
      <c r="R18" s="326">
        <f>'P19'!R18</f>
        <v>0.33333333333333331</v>
      </c>
      <c r="S18" s="326">
        <f>'P19'!S18</f>
        <v>0.33333333333333331</v>
      </c>
      <c r="T18" s="326">
        <f>'P19'!T18</f>
        <v>0.33333333333333331</v>
      </c>
      <c r="U18" s="326">
        <f>'P19'!U18</f>
        <v>0.33333333333333331</v>
      </c>
      <c r="V18" s="326">
        <f>'P19'!V18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'P19'!G19</f>
        <v>0</v>
      </c>
      <c r="H19" s="326">
        <f>'P19'!H19</f>
        <v>0.3125</v>
      </c>
      <c r="I19" s="326">
        <f>'P19'!I19</f>
        <v>0.3125</v>
      </c>
      <c r="J19" s="326">
        <f>'P19'!J19</f>
        <v>0.3125</v>
      </c>
      <c r="K19" s="326">
        <f>'P19'!K19</f>
        <v>0.3125</v>
      </c>
      <c r="L19" s="326">
        <f>'P19'!L19</f>
        <v>0.3125</v>
      </c>
      <c r="M19" s="326">
        <f>'P19'!M19</f>
        <v>0</v>
      </c>
      <c r="N19" s="87"/>
      <c r="O19" s="83"/>
      <c r="P19" s="326">
        <f>'P19'!P19</f>
        <v>0</v>
      </c>
      <c r="Q19" s="326">
        <f>'P19'!Q19</f>
        <v>0.3125</v>
      </c>
      <c r="R19" s="326">
        <f>'P19'!R19</f>
        <v>0.3125</v>
      </c>
      <c r="S19" s="326">
        <f>'P19'!S19</f>
        <v>0.3125</v>
      </c>
      <c r="T19" s="326">
        <f>'P19'!T19</f>
        <v>0.3125</v>
      </c>
      <c r="U19" s="326">
        <f>'P19'!U19</f>
        <v>0.3125</v>
      </c>
      <c r="V19" s="326">
        <f>'P19'!V19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'P19'!G20</f>
        <v>0</v>
      </c>
      <c r="H20" s="326">
        <f>'P19'!H20</f>
        <v>0.1875</v>
      </c>
      <c r="I20" s="326">
        <f>'P19'!I20</f>
        <v>0.1875</v>
      </c>
      <c r="J20" s="326">
        <f>'P19'!J20</f>
        <v>0.1875</v>
      </c>
      <c r="K20" s="326">
        <f>'P19'!K20</f>
        <v>0.1875</v>
      </c>
      <c r="L20" s="326">
        <f>'P19'!L20</f>
        <v>0.1875</v>
      </c>
      <c r="M20" s="326">
        <f>'P19'!M20</f>
        <v>0</v>
      </c>
      <c r="N20" s="112"/>
      <c r="O20" s="245"/>
      <c r="P20" s="326">
        <f>'P19'!P20</f>
        <v>0</v>
      </c>
      <c r="Q20" s="326">
        <f>'P19'!Q20</f>
        <v>0.1875</v>
      </c>
      <c r="R20" s="326">
        <f>'P19'!R20</f>
        <v>0.1875</v>
      </c>
      <c r="S20" s="326">
        <f>'P19'!S20</f>
        <v>0.1875</v>
      </c>
      <c r="T20" s="326">
        <f>'P19'!T20</f>
        <v>0.1875</v>
      </c>
      <c r="U20" s="326">
        <f>'P19'!U20</f>
        <v>0.1875</v>
      </c>
      <c r="V20" s="326">
        <f>'P19'!V20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43003</v>
      </c>
      <c r="H23" s="175">
        <f t="shared" ref="H23:M23" si="4">G23+1</f>
        <v>43004</v>
      </c>
      <c r="I23" s="175">
        <f t="shared" si="4"/>
        <v>43005</v>
      </c>
      <c r="J23" s="175">
        <f t="shared" si="4"/>
        <v>43006</v>
      </c>
      <c r="K23" s="175">
        <f t="shared" si="4"/>
        <v>43007</v>
      </c>
      <c r="L23" s="175">
        <f t="shared" si="4"/>
        <v>43008</v>
      </c>
      <c r="M23" s="175">
        <f t="shared" si="4"/>
        <v>43009</v>
      </c>
      <c r="N23" s="176"/>
      <c r="O23" s="84"/>
      <c r="P23" s="175">
        <f>M23+1</f>
        <v>43010</v>
      </c>
      <c r="Q23" s="175">
        <f t="shared" ref="Q23:V23" si="5">P23+1</f>
        <v>43011</v>
      </c>
      <c r="R23" s="175">
        <f t="shared" si="5"/>
        <v>43012</v>
      </c>
      <c r="S23" s="175">
        <f t="shared" si="5"/>
        <v>43013</v>
      </c>
      <c r="T23" s="175">
        <f t="shared" si="5"/>
        <v>43014</v>
      </c>
      <c r="U23" s="175">
        <f t="shared" si="5"/>
        <v>43015</v>
      </c>
      <c r="V23" s="175">
        <f t="shared" si="5"/>
        <v>43016</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'P19'!AD25</f>
        <v>0</v>
      </c>
      <c r="AD25" s="229">
        <f>MOD(ROUND(96*(AC25+Y48-Y42),0)/96,Instructions!C14)</f>
        <v>0</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'P19'!AD26</f>
        <v>0</v>
      </c>
      <c r="AD26" s="229">
        <f>MOD(ROUND(96*(AC26+Y48-Y42),0)/96,20/24)</f>
        <v>0</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3.3333333333333321</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3.3333333333333321</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'P19'!AC37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'P19'!T51</f>
        <v>3.1666666666666656</v>
      </c>
      <c r="Q51" s="505"/>
      <c r="R51" s="207">
        <f>+Y54*AC38</f>
        <v>0.16666666666666666</v>
      </c>
      <c r="S51" s="207">
        <f>Y33+Y51</f>
        <v>0</v>
      </c>
      <c r="T51" s="494">
        <f t="shared" ref="T51:T56" si="19">P51+R51-S51</f>
        <v>3.3333333333333321</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'P19'!T52</f>
        <v>3.1666666666666656</v>
      </c>
      <c r="Q52" s="493"/>
      <c r="R52" s="208">
        <f>+Y55*AC38</f>
        <v>0.16666666666666666</v>
      </c>
      <c r="S52" s="207">
        <f>Y34+Y35</f>
        <v>0</v>
      </c>
      <c r="T52" s="478">
        <f t="shared" si="19"/>
        <v>3.3333333333333321</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MIN(Instructions!$C$7,'P19'!T53)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'P19'!T54</f>
        <v>0</v>
      </c>
      <c r="Q54" s="493"/>
      <c r="R54" s="208">
        <f>Y27</f>
        <v>0</v>
      </c>
      <c r="S54" s="208">
        <f>Y36</f>
        <v>0</v>
      </c>
      <c r="T54" s="478">
        <f t="shared" si="19"/>
        <v>0</v>
      </c>
      <c r="U54" s="480"/>
      <c r="V54" s="93"/>
      <c r="W54" s="247" t="s">
        <v>123</v>
      </c>
      <c r="X54" s="76"/>
      <c r="Y54" s="257">
        <f>IF(Instructions!A14=0,'P19'!Y54,FLOOR((ROUND(96*(AC25+Y48-Y42),0)/96)/Instructions!C14,1)/24)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'P19'!T55</f>
        <v>0</v>
      </c>
      <c r="Q55" s="493"/>
      <c r="R55" s="208">
        <f>Y28</f>
        <v>0</v>
      </c>
      <c r="S55" s="208">
        <f>Y37</f>
        <v>0</v>
      </c>
      <c r="T55" s="478">
        <f t="shared" si="19"/>
        <v>0</v>
      </c>
      <c r="U55" s="480"/>
      <c r="V55" s="93"/>
      <c r="W55" s="247" t="s">
        <v>124</v>
      </c>
      <c r="X55" s="76"/>
      <c r="Y55" s="257">
        <f>IF(Instructions!A14=0,'P19'!Y55,FLOOR((ROUND(96*(AC26+Y48-Y42),0)/96)/20,1/24))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'P19'!T56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'P19'!T57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'P19'!B59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'P19'!B61</f>
        <v>____________________________</v>
      </c>
      <c r="C61" s="93"/>
      <c r="D61" s="93"/>
      <c r="E61" s="93"/>
      <c r="F61" s="93"/>
      <c r="G61" s="93"/>
      <c r="H61" s="250"/>
      <c r="I61" s="250">
        <f>'P19'!I61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'P19'!B62</f>
        <v xml:space="preserve">    Employee Signature</v>
      </c>
      <c r="C62" s="96"/>
      <c r="D62" s="96"/>
      <c r="E62" s="96"/>
      <c r="F62" s="96"/>
      <c r="G62" s="96"/>
      <c r="H62" s="96"/>
      <c r="I62" s="260">
        <f>'P19'!I62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83" priority="12" stopIfTrue="1" operator="equal">
      <formula>TODAY()</formula>
    </cfRule>
  </conditionalFormatting>
  <conditionalFormatting sqref="O23:V23 G23:M23">
    <cfRule type="cellIs" dxfId="82" priority="11" stopIfTrue="1" operator="equal">
      <formula>TODAY()</formula>
    </cfRule>
  </conditionalFormatting>
  <conditionalFormatting sqref="G12:M13 P12:V13">
    <cfRule type="cellIs" dxfId="81" priority="10" stopIfTrue="1" operator="equal">
      <formula>0</formula>
    </cfRule>
  </conditionalFormatting>
  <conditionalFormatting sqref="G46:N46 P46:W46 Y46 Y44 Y32:Y42 Y30 Y24:Y28">
    <cfRule type="cellIs" dxfId="80" priority="9" stopIfTrue="1" operator="equal">
      <formula>0</formula>
    </cfRule>
  </conditionalFormatting>
  <conditionalFormatting sqref="T53:U53">
    <cfRule type="cellIs" dxfId="79" priority="8" stopIfTrue="1" operator="greaterThan">
      <formula>1</formula>
    </cfRule>
  </conditionalFormatting>
  <conditionalFormatting sqref="G18:M20 P18:V20">
    <cfRule type="cellIs" dxfId="78" priority="7" operator="equal">
      <formula>0</formula>
    </cfRule>
  </conditionalFormatting>
  <conditionalFormatting sqref="G48:M48 P48:V48">
    <cfRule type="expression" dxfId="77" priority="4">
      <formula>G48&lt;&gt;G18</formula>
    </cfRule>
  </conditionalFormatting>
  <conditionalFormatting sqref="P48:V48">
    <cfRule type="expression" dxfId="76" priority="5">
      <formula>P48&lt;&gt;P18</formula>
    </cfRule>
  </conditionalFormatting>
  <conditionalFormatting sqref="G30:L30 M24 N24:N28 N30 P30:U30 V24 P24 W24:W28 W30 W32:W42 P48:W48 G48:N48 G32:G35 N32:N42 G44:N44 P44:W44 G24">
    <cfRule type="cellIs" dxfId="75" priority="6" operator="equal">
      <formula>0</formula>
    </cfRule>
  </conditionalFormatting>
  <conditionalFormatting sqref="H24:L24 Q24:U24">
    <cfRule type="cellIs" dxfId="74" priority="3" operator="equal">
      <formula>0</formula>
    </cfRule>
  </conditionalFormatting>
  <conditionalFormatting sqref="M30">
    <cfRule type="cellIs" dxfId="73" priority="2" operator="equal">
      <formula>0</formula>
    </cfRule>
  </conditionalFormatting>
  <conditionalFormatting sqref="V30">
    <cfRule type="cellIs" dxfId="72" priority="1" operator="equal">
      <formula>0</formula>
    </cfRule>
  </conditionalFormatting>
  <pageMargins left="0.25" right="0.25" top="0.54" bottom="0.25" header="0" footer="0"/>
  <pageSetup scale="89" orientation="landscape"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AI65"/>
  <sheetViews>
    <sheetView zoomScale="90" workbookViewId="0">
      <selection activeCell="I24" sqref="I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43017</v>
      </c>
      <c r="H3" s="120">
        <f t="shared" si="0"/>
        <v>43018</v>
      </c>
      <c r="I3" s="120">
        <f t="shared" si="0"/>
        <v>43019</v>
      </c>
      <c r="J3" s="120">
        <f t="shared" si="0"/>
        <v>43020</v>
      </c>
      <c r="K3" s="120">
        <f t="shared" si="0"/>
        <v>43021</v>
      </c>
      <c r="L3" s="120">
        <f t="shared" si="0"/>
        <v>43022</v>
      </c>
      <c r="M3" s="120">
        <f t="shared" si="0"/>
        <v>43023</v>
      </c>
      <c r="N3" s="120"/>
      <c r="O3" s="120"/>
      <c r="P3" s="120">
        <f t="shared" si="1"/>
        <v>43024</v>
      </c>
      <c r="Q3" s="120">
        <f t="shared" si="1"/>
        <v>43025</v>
      </c>
      <c r="R3" s="120">
        <f t="shared" si="1"/>
        <v>43026</v>
      </c>
      <c r="S3" s="120">
        <f t="shared" si="1"/>
        <v>43027</v>
      </c>
      <c r="T3" s="120">
        <f t="shared" si="1"/>
        <v>43028</v>
      </c>
      <c r="U3" s="120">
        <f t="shared" si="1"/>
        <v>43029</v>
      </c>
      <c r="V3" s="120">
        <f t="shared" si="1"/>
        <v>43030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'P20'!R15+1</f>
        <v>21</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'P20'!L16</f>
        <v>2021</v>
      </c>
      <c r="M16" s="96"/>
      <c r="N16" s="97"/>
      <c r="O16" s="93"/>
      <c r="P16" s="143" t="s">
        <v>16</v>
      </c>
      <c r="Q16" s="113">
        <f>'P20'!Q16+14</f>
        <v>43017</v>
      </c>
      <c r="R16" s="144" t="s">
        <v>17</v>
      </c>
      <c r="S16" s="113">
        <f>Q16+13</f>
        <v>43030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'P20'!G18</f>
        <v>0</v>
      </c>
      <c r="H18" s="326">
        <f>'P20'!H18</f>
        <v>0.33333333333333331</v>
      </c>
      <c r="I18" s="326">
        <f>'P20'!I18</f>
        <v>0.33333333333333331</v>
      </c>
      <c r="J18" s="326">
        <f>'P20'!J18</f>
        <v>0.33333333333333331</v>
      </c>
      <c r="K18" s="326">
        <f>'P20'!K18</f>
        <v>0.33333333333333331</v>
      </c>
      <c r="L18" s="326">
        <f>'P20'!L18</f>
        <v>0.33333333333333331</v>
      </c>
      <c r="M18" s="326">
        <f>'P20'!M18</f>
        <v>0</v>
      </c>
      <c r="N18" s="231">
        <f>SUM(G18:M18)</f>
        <v>1.6666666666666665</v>
      </c>
      <c r="O18" s="79"/>
      <c r="P18" s="326">
        <f>'P20'!P18</f>
        <v>0</v>
      </c>
      <c r="Q18" s="326">
        <f>'P20'!Q18</f>
        <v>0.33333333333333331</v>
      </c>
      <c r="R18" s="326">
        <f>'P20'!R18</f>
        <v>0.33333333333333331</v>
      </c>
      <c r="S18" s="326">
        <f>'P20'!S18</f>
        <v>0.33333333333333331</v>
      </c>
      <c r="T18" s="326">
        <f>'P20'!T18</f>
        <v>0.33333333333333331</v>
      </c>
      <c r="U18" s="326">
        <f>'P20'!U18</f>
        <v>0.33333333333333331</v>
      </c>
      <c r="V18" s="326">
        <f>'P20'!V18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'P20'!G19</f>
        <v>0</v>
      </c>
      <c r="H19" s="326">
        <f>'P20'!H19</f>
        <v>0.3125</v>
      </c>
      <c r="I19" s="326">
        <f>'P20'!I19</f>
        <v>0.3125</v>
      </c>
      <c r="J19" s="326">
        <f>'P20'!J19</f>
        <v>0.3125</v>
      </c>
      <c r="K19" s="326">
        <f>'P20'!K19</f>
        <v>0.3125</v>
      </c>
      <c r="L19" s="326">
        <f>'P20'!L19</f>
        <v>0.3125</v>
      </c>
      <c r="M19" s="326">
        <f>'P20'!M19</f>
        <v>0</v>
      </c>
      <c r="N19" s="87"/>
      <c r="O19" s="83"/>
      <c r="P19" s="326">
        <f>'P20'!P19</f>
        <v>0</v>
      </c>
      <c r="Q19" s="326">
        <f>'P20'!Q19</f>
        <v>0.3125</v>
      </c>
      <c r="R19" s="326">
        <f>'P20'!R19</f>
        <v>0.3125</v>
      </c>
      <c r="S19" s="326">
        <f>'P20'!S19</f>
        <v>0.3125</v>
      </c>
      <c r="T19" s="326">
        <f>'P20'!T19</f>
        <v>0.3125</v>
      </c>
      <c r="U19" s="326">
        <f>'P20'!U19</f>
        <v>0.3125</v>
      </c>
      <c r="V19" s="326">
        <f>'P20'!V19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'P20'!G20</f>
        <v>0</v>
      </c>
      <c r="H20" s="326">
        <f>'P20'!H20</f>
        <v>0.1875</v>
      </c>
      <c r="I20" s="326">
        <f>'P20'!I20</f>
        <v>0.1875</v>
      </c>
      <c r="J20" s="326">
        <f>'P20'!J20</f>
        <v>0.1875</v>
      </c>
      <c r="K20" s="326">
        <f>'P20'!K20</f>
        <v>0.1875</v>
      </c>
      <c r="L20" s="326">
        <f>'P20'!L20</f>
        <v>0.1875</v>
      </c>
      <c r="M20" s="326">
        <f>'P20'!M20</f>
        <v>0</v>
      </c>
      <c r="N20" s="112"/>
      <c r="O20" s="245"/>
      <c r="P20" s="326">
        <f>'P20'!P20</f>
        <v>0</v>
      </c>
      <c r="Q20" s="326">
        <f>'P20'!Q20</f>
        <v>0.1875</v>
      </c>
      <c r="R20" s="326">
        <f>'P20'!R20</f>
        <v>0.1875</v>
      </c>
      <c r="S20" s="326">
        <f>'P20'!S20</f>
        <v>0.1875</v>
      </c>
      <c r="T20" s="326">
        <f>'P20'!T20</f>
        <v>0.1875</v>
      </c>
      <c r="U20" s="326">
        <f>'P20'!U20</f>
        <v>0.1875</v>
      </c>
      <c r="V20" s="326">
        <f>'P20'!V20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43017</v>
      </c>
      <c r="H23" s="175">
        <f t="shared" ref="H23:M23" si="4">G23+1</f>
        <v>43018</v>
      </c>
      <c r="I23" s="175">
        <f t="shared" si="4"/>
        <v>43019</v>
      </c>
      <c r="J23" s="175">
        <f t="shared" si="4"/>
        <v>43020</v>
      </c>
      <c r="K23" s="175">
        <f t="shared" si="4"/>
        <v>43021</v>
      </c>
      <c r="L23" s="175">
        <f t="shared" si="4"/>
        <v>43022</v>
      </c>
      <c r="M23" s="175">
        <f t="shared" si="4"/>
        <v>43023</v>
      </c>
      <c r="N23" s="176"/>
      <c r="O23" s="84"/>
      <c r="P23" s="175">
        <f>M23+1</f>
        <v>43024</v>
      </c>
      <c r="Q23" s="175">
        <f t="shared" ref="Q23:V23" si="5">P23+1</f>
        <v>43025</v>
      </c>
      <c r="R23" s="175">
        <f t="shared" si="5"/>
        <v>43026</v>
      </c>
      <c r="S23" s="175">
        <f t="shared" si="5"/>
        <v>43027</v>
      </c>
      <c r="T23" s="175">
        <f t="shared" si="5"/>
        <v>43028</v>
      </c>
      <c r="U23" s="175">
        <f t="shared" si="5"/>
        <v>43029</v>
      </c>
      <c r="V23" s="175">
        <f t="shared" si="5"/>
        <v>43030</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'P20'!AD25</f>
        <v>0</v>
      </c>
      <c r="AD25" s="229">
        <f>MOD(ROUND(96*(AC25+Y48-Y42),0)/96,Instructions!C14)</f>
        <v>0.33333333333333331</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'P20'!AD26</f>
        <v>0</v>
      </c>
      <c r="AD26" s="229">
        <f>MOD(ROUND(96*(AC26+Y48-Y42),0)/96,20/24)</f>
        <v>0.33333333333333331</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3.4999999999999987</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3.4999999999999987</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'P20'!AC37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'P20'!T51</f>
        <v>3.3333333333333321</v>
      </c>
      <c r="Q51" s="505"/>
      <c r="R51" s="207">
        <f>+Y54*AC38</f>
        <v>0.16666666666666666</v>
      </c>
      <c r="S51" s="207">
        <f>Y33+Y51</f>
        <v>0</v>
      </c>
      <c r="T51" s="494">
        <f t="shared" ref="T51:T56" si="19">P51+R51-S51</f>
        <v>3.4999999999999987</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'P20'!T52</f>
        <v>3.3333333333333321</v>
      </c>
      <c r="Q52" s="493"/>
      <c r="R52" s="208">
        <f>+Y55*AC38</f>
        <v>0.16666666666666666</v>
      </c>
      <c r="S52" s="207">
        <f>Y34+Y35</f>
        <v>0</v>
      </c>
      <c r="T52" s="478">
        <f t="shared" si="19"/>
        <v>3.4999999999999987</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MIN(Instructions!$C$7,'P20'!T53)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'P20'!T54</f>
        <v>0</v>
      </c>
      <c r="Q54" s="493"/>
      <c r="R54" s="208">
        <f>Y27</f>
        <v>0</v>
      </c>
      <c r="S54" s="208">
        <f>Y36</f>
        <v>0</v>
      </c>
      <c r="T54" s="478">
        <f t="shared" si="19"/>
        <v>0</v>
      </c>
      <c r="U54" s="480"/>
      <c r="V54" s="93"/>
      <c r="W54" s="247" t="s">
        <v>123</v>
      </c>
      <c r="X54" s="76"/>
      <c r="Y54" s="257">
        <f>IF(Instructions!A14=0,'P20'!Y54,FLOOR((ROUND(96*(AC25+Y48-Y42),0)/96)/Instructions!C14,1)/24)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'P20'!T55</f>
        <v>0</v>
      </c>
      <c r="Q55" s="493"/>
      <c r="R55" s="208">
        <f>Y28</f>
        <v>0</v>
      </c>
      <c r="S55" s="208">
        <f>Y37</f>
        <v>0</v>
      </c>
      <c r="T55" s="478">
        <f t="shared" si="19"/>
        <v>0</v>
      </c>
      <c r="U55" s="480"/>
      <c r="V55" s="93"/>
      <c r="W55" s="247" t="s">
        <v>124</v>
      </c>
      <c r="X55" s="76"/>
      <c r="Y55" s="257">
        <f>IF(Instructions!A14=0,'P20'!Y55,FLOOR((ROUND(96*(AC26+Y48-Y42),0)/96)/20,1/24))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'P20'!T56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'P20'!T57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'P20'!B59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'P20'!B61</f>
        <v>____________________________</v>
      </c>
      <c r="C61" s="93"/>
      <c r="D61" s="93"/>
      <c r="E61" s="93"/>
      <c r="F61" s="93"/>
      <c r="G61" s="93"/>
      <c r="H61" s="250"/>
      <c r="I61" s="250">
        <f>'P20'!I61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'P20'!B62</f>
        <v xml:space="preserve">    Employee Signature</v>
      </c>
      <c r="C62" s="96"/>
      <c r="D62" s="96"/>
      <c r="E62" s="96"/>
      <c r="F62" s="96"/>
      <c r="G62" s="96"/>
      <c r="H62" s="96"/>
      <c r="I62" s="260">
        <f>'P20'!I62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71" priority="12" stopIfTrue="1" operator="equal">
      <formula>TODAY()</formula>
    </cfRule>
  </conditionalFormatting>
  <conditionalFormatting sqref="O23:V23 G23:M23">
    <cfRule type="cellIs" dxfId="70" priority="11" stopIfTrue="1" operator="equal">
      <formula>TODAY()</formula>
    </cfRule>
  </conditionalFormatting>
  <conditionalFormatting sqref="G12:M13 P12:V13">
    <cfRule type="cellIs" dxfId="69" priority="10" stopIfTrue="1" operator="equal">
      <formula>0</formula>
    </cfRule>
  </conditionalFormatting>
  <conditionalFormatting sqref="G46:N46 P46:W46 Y46 Y44 Y32:Y42 Y30 Y24:Y28">
    <cfRule type="cellIs" dxfId="68" priority="9" stopIfTrue="1" operator="equal">
      <formula>0</formula>
    </cfRule>
  </conditionalFormatting>
  <conditionalFormatting sqref="T53:U53">
    <cfRule type="cellIs" dxfId="67" priority="8" stopIfTrue="1" operator="greaterThan">
      <formula>1</formula>
    </cfRule>
  </conditionalFormatting>
  <conditionalFormatting sqref="G18:M20 P18:V20">
    <cfRule type="cellIs" dxfId="66" priority="7" operator="equal">
      <formula>0</formula>
    </cfRule>
  </conditionalFormatting>
  <conditionalFormatting sqref="G48:M48 P48:V48">
    <cfRule type="expression" dxfId="65" priority="4">
      <formula>G48&lt;&gt;G18</formula>
    </cfRule>
  </conditionalFormatting>
  <conditionalFormatting sqref="P48:V48">
    <cfRule type="expression" dxfId="64" priority="5">
      <formula>P48&lt;&gt;P18</formula>
    </cfRule>
  </conditionalFormatting>
  <conditionalFormatting sqref="G30:L30 M24 N24:N28 N30 P30:U30 V24 P24 W24:W28 W30 W32:W42 P48:W48 G48:N48 G32:G35 N32:N42 G44:N44 P44:W44 G24">
    <cfRule type="cellIs" dxfId="63" priority="6" operator="equal">
      <formula>0</formula>
    </cfRule>
  </conditionalFormatting>
  <conditionalFormatting sqref="H24:L24 Q24:U24">
    <cfRule type="cellIs" dxfId="62" priority="3" operator="equal">
      <formula>0</formula>
    </cfRule>
  </conditionalFormatting>
  <conditionalFormatting sqref="M30">
    <cfRule type="cellIs" dxfId="61" priority="2" operator="equal">
      <formula>0</formula>
    </cfRule>
  </conditionalFormatting>
  <conditionalFormatting sqref="V30">
    <cfRule type="cellIs" dxfId="60" priority="1" operator="equal">
      <formula>0</formula>
    </cfRule>
  </conditionalFormatting>
  <pageMargins left="0.25" right="0.25" top="0.54" bottom="0.25" header="0" footer="0"/>
  <pageSetup scale="89" orientation="landscape"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43031</v>
      </c>
      <c r="H3" s="120">
        <f t="shared" si="0"/>
        <v>43032</v>
      </c>
      <c r="I3" s="120">
        <f t="shared" si="0"/>
        <v>43033</v>
      </c>
      <c r="J3" s="120">
        <f t="shared" si="0"/>
        <v>43034</v>
      </c>
      <c r="K3" s="120">
        <f t="shared" si="0"/>
        <v>43035</v>
      </c>
      <c r="L3" s="120">
        <f t="shared" si="0"/>
        <v>43036</v>
      </c>
      <c r="M3" s="120">
        <f t="shared" si="0"/>
        <v>43037</v>
      </c>
      <c r="N3" s="120"/>
      <c r="O3" s="120"/>
      <c r="P3" s="120">
        <f t="shared" si="1"/>
        <v>43038</v>
      </c>
      <c r="Q3" s="120">
        <f t="shared" si="1"/>
        <v>43039</v>
      </c>
      <c r="R3" s="120">
        <f t="shared" si="1"/>
        <v>43040</v>
      </c>
      <c r="S3" s="120">
        <f t="shared" si="1"/>
        <v>43041</v>
      </c>
      <c r="T3" s="120">
        <f t="shared" si="1"/>
        <v>43042</v>
      </c>
      <c r="U3" s="120">
        <f t="shared" si="1"/>
        <v>43043</v>
      </c>
      <c r="V3" s="120">
        <f t="shared" si="1"/>
        <v>43044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'P21'!R15+1</f>
        <v>22</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'P21'!L16</f>
        <v>2021</v>
      </c>
      <c r="M16" s="96"/>
      <c r="N16" s="97"/>
      <c r="O16" s="93"/>
      <c r="P16" s="143" t="s">
        <v>16</v>
      </c>
      <c r="Q16" s="113">
        <f>'P21'!Q16+14</f>
        <v>43031</v>
      </c>
      <c r="R16" s="144" t="s">
        <v>17</v>
      </c>
      <c r="S16" s="113">
        <f>Q16+13</f>
        <v>43044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'P21'!G18</f>
        <v>0</v>
      </c>
      <c r="H18" s="326">
        <f>'P21'!H18</f>
        <v>0.33333333333333331</v>
      </c>
      <c r="I18" s="326">
        <f>'P21'!I18</f>
        <v>0.33333333333333331</v>
      </c>
      <c r="J18" s="326">
        <f>'P21'!J18</f>
        <v>0.33333333333333331</v>
      </c>
      <c r="K18" s="326">
        <f>'P21'!K18</f>
        <v>0.33333333333333331</v>
      </c>
      <c r="L18" s="326">
        <f>'P21'!L18</f>
        <v>0.33333333333333331</v>
      </c>
      <c r="M18" s="326">
        <f>'P21'!M18</f>
        <v>0</v>
      </c>
      <c r="N18" s="231">
        <f>SUM(G18:M18)</f>
        <v>1.6666666666666665</v>
      </c>
      <c r="O18" s="79"/>
      <c r="P18" s="326">
        <f>'P21'!P18</f>
        <v>0</v>
      </c>
      <c r="Q18" s="326">
        <f>'P21'!Q18</f>
        <v>0.33333333333333331</v>
      </c>
      <c r="R18" s="326">
        <f>'P21'!R18</f>
        <v>0.33333333333333331</v>
      </c>
      <c r="S18" s="326">
        <f>'P21'!S18</f>
        <v>0.33333333333333331</v>
      </c>
      <c r="T18" s="326">
        <f>'P21'!T18</f>
        <v>0.33333333333333331</v>
      </c>
      <c r="U18" s="326">
        <f>'P21'!U18</f>
        <v>0.33333333333333331</v>
      </c>
      <c r="V18" s="326">
        <f>'P21'!V18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'P21'!G19</f>
        <v>0</v>
      </c>
      <c r="H19" s="326">
        <f>'P21'!H19</f>
        <v>0.3125</v>
      </c>
      <c r="I19" s="326">
        <f>'P21'!I19</f>
        <v>0.3125</v>
      </c>
      <c r="J19" s="326">
        <f>'P21'!J19</f>
        <v>0.3125</v>
      </c>
      <c r="K19" s="326">
        <f>'P21'!K19</f>
        <v>0.3125</v>
      </c>
      <c r="L19" s="326">
        <f>'P21'!L19</f>
        <v>0.3125</v>
      </c>
      <c r="M19" s="326">
        <f>'P21'!M19</f>
        <v>0</v>
      </c>
      <c r="N19" s="87"/>
      <c r="O19" s="83"/>
      <c r="P19" s="326">
        <f>'P21'!P19</f>
        <v>0</v>
      </c>
      <c r="Q19" s="326">
        <f>'P21'!Q19</f>
        <v>0.3125</v>
      </c>
      <c r="R19" s="326">
        <f>'P21'!R19</f>
        <v>0.3125</v>
      </c>
      <c r="S19" s="326">
        <f>'P21'!S19</f>
        <v>0.3125</v>
      </c>
      <c r="T19" s="326">
        <f>'P21'!T19</f>
        <v>0.3125</v>
      </c>
      <c r="U19" s="326">
        <f>'P21'!U19</f>
        <v>0.3125</v>
      </c>
      <c r="V19" s="326">
        <f>'P21'!V19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'P21'!G20</f>
        <v>0</v>
      </c>
      <c r="H20" s="326">
        <f>'P21'!H20</f>
        <v>0.1875</v>
      </c>
      <c r="I20" s="326">
        <f>'P21'!I20</f>
        <v>0.1875</v>
      </c>
      <c r="J20" s="326">
        <f>'P21'!J20</f>
        <v>0.1875</v>
      </c>
      <c r="K20" s="326">
        <f>'P21'!K20</f>
        <v>0.1875</v>
      </c>
      <c r="L20" s="326">
        <f>'P21'!L20</f>
        <v>0.1875</v>
      </c>
      <c r="M20" s="326">
        <f>'P21'!M20</f>
        <v>0</v>
      </c>
      <c r="N20" s="112"/>
      <c r="O20" s="245"/>
      <c r="P20" s="326">
        <f>'P21'!P20</f>
        <v>0</v>
      </c>
      <c r="Q20" s="326">
        <f>'P21'!Q20</f>
        <v>0.1875</v>
      </c>
      <c r="R20" s="326">
        <f>'P21'!R20</f>
        <v>0.1875</v>
      </c>
      <c r="S20" s="326">
        <f>'P21'!S20</f>
        <v>0.1875</v>
      </c>
      <c r="T20" s="326">
        <f>'P21'!T20</f>
        <v>0.1875</v>
      </c>
      <c r="U20" s="326">
        <f>'P21'!U20</f>
        <v>0.1875</v>
      </c>
      <c r="V20" s="326">
        <f>'P21'!V20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43031</v>
      </c>
      <c r="H23" s="175">
        <f t="shared" ref="H23:M23" si="4">G23+1</f>
        <v>43032</v>
      </c>
      <c r="I23" s="175">
        <f t="shared" si="4"/>
        <v>43033</v>
      </c>
      <c r="J23" s="175">
        <f t="shared" si="4"/>
        <v>43034</v>
      </c>
      <c r="K23" s="175">
        <f t="shared" si="4"/>
        <v>43035</v>
      </c>
      <c r="L23" s="175">
        <f t="shared" si="4"/>
        <v>43036</v>
      </c>
      <c r="M23" s="175">
        <f t="shared" si="4"/>
        <v>43037</v>
      </c>
      <c r="N23" s="176"/>
      <c r="O23" s="84"/>
      <c r="P23" s="175">
        <f>M23+1</f>
        <v>43038</v>
      </c>
      <c r="Q23" s="175">
        <f t="shared" ref="Q23:V23" si="5">P23+1</f>
        <v>43039</v>
      </c>
      <c r="R23" s="175">
        <f t="shared" si="5"/>
        <v>43040</v>
      </c>
      <c r="S23" s="175">
        <f t="shared" si="5"/>
        <v>43041</v>
      </c>
      <c r="T23" s="175">
        <f t="shared" si="5"/>
        <v>43042</v>
      </c>
      <c r="U23" s="175">
        <f t="shared" si="5"/>
        <v>43043</v>
      </c>
      <c r="V23" s="175">
        <f t="shared" si="5"/>
        <v>43044</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'P21'!AD25</f>
        <v>0.33333333333333331</v>
      </c>
      <c r="AD25" s="229">
        <f>MOD(ROUND(96*(AC25+Y48-Y42),0)/96,Instructions!C14)</f>
        <v>0.33333333333333331</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'P21'!AD26</f>
        <v>0.33333333333333331</v>
      </c>
      <c r="AD26" s="229">
        <f>MOD(ROUND(96*(AC26+Y48-Y42),0)/96,20/24)</f>
        <v>0.33333333333333331</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3.6666666666666652</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3.6666666666666652</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'P21'!AC37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'P21'!T51</f>
        <v>3.4999999999999987</v>
      </c>
      <c r="Q51" s="505"/>
      <c r="R51" s="207">
        <f>+Y54*AC38</f>
        <v>0.16666666666666666</v>
      </c>
      <c r="S51" s="207">
        <f>Y33+Y51</f>
        <v>0</v>
      </c>
      <c r="T51" s="494">
        <f t="shared" ref="T51:T56" si="19">P51+R51-S51</f>
        <v>3.6666666666666652</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'P21'!T52</f>
        <v>3.4999999999999987</v>
      </c>
      <c r="Q52" s="493"/>
      <c r="R52" s="208">
        <f>+Y55*AC38</f>
        <v>0.16666666666666666</v>
      </c>
      <c r="S52" s="207">
        <f>Y34+Y35</f>
        <v>0</v>
      </c>
      <c r="T52" s="478">
        <f t="shared" si="19"/>
        <v>3.6666666666666652</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MIN(Instructions!$C$7,'P21'!T53)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'P21'!T54</f>
        <v>0</v>
      </c>
      <c r="Q54" s="493"/>
      <c r="R54" s="208">
        <f>Y27</f>
        <v>0</v>
      </c>
      <c r="S54" s="208">
        <f>Y36</f>
        <v>0</v>
      </c>
      <c r="T54" s="478">
        <f t="shared" si="19"/>
        <v>0</v>
      </c>
      <c r="U54" s="480"/>
      <c r="V54" s="93"/>
      <c r="W54" s="247" t="s">
        <v>123</v>
      </c>
      <c r="X54" s="76"/>
      <c r="Y54" s="257">
        <f>IF(Instructions!A14=0,'P21'!Y54,FLOOR((ROUND(96*(AC25+Y48-Y42),0)/96)/Instructions!C14,1)/24)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'P21'!T55</f>
        <v>0</v>
      </c>
      <c r="Q55" s="493"/>
      <c r="R55" s="208">
        <f>Y28</f>
        <v>0</v>
      </c>
      <c r="S55" s="208">
        <f>Y37</f>
        <v>0</v>
      </c>
      <c r="T55" s="478">
        <f t="shared" si="19"/>
        <v>0</v>
      </c>
      <c r="U55" s="480"/>
      <c r="V55" s="93"/>
      <c r="W55" s="247" t="s">
        <v>124</v>
      </c>
      <c r="X55" s="76"/>
      <c r="Y55" s="257">
        <f>IF(Instructions!A14=0,'P21'!Y55,FLOOR((ROUND(96*(AC26+Y48-Y42),0)/96)/20,1/24))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'P21'!T56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'P21'!T57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'P21'!B59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'P21'!B61</f>
        <v>____________________________</v>
      </c>
      <c r="C61" s="93"/>
      <c r="D61" s="93"/>
      <c r="E61" s="93"/>
      <c r="F61" s="93"/>
      <c r="G61" s="93"/>
      <c r="H61" s="250"/>
      <c r="I61" s="250">
        <f>'P21'!I61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'P21'!B62</f>
        <v xml:space="preserve">    Employee Signature</v>
      </c>
      <c r="C62" s="96"/>
      <c r="D62" s="96"/>
      <c r="E62" s="96"/>
      <c r="F62" s="96"/>
      <c r="G62" s="96"/>
      <c r="H62" s="96"/>
      <c r="I62" s="260">
        <f>'P21'!I62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59" priority="12" stopIfTrue="1" operator="equal">
      <formula>TODAY()</formula>
    </cfRule>
  </conditionalFormatting>
  <conditionalFormatting sqref="O23:V23 G23:M23">
    <cfRule type="cellIs" dxfId="58" priority="11" stopIfTrue="1" operator="equal">
      <formula>TODAY()</formula>
    </cfRule>
  </conditionalFormatting>
  <conditionalFormatting sqref="G12:M13 P12:V13">
    <cfRule type="cellIs" dxfId="57" priority="10" stopIfTrue="1" operator="equal">
      <formula>0</formula>
    </cfRule>
  </conditionalFormatting>
  <conditionalFormatting sqref="G46:N46 P46:W46 Y46 Y44 Y32:Y42 Y30 Y24:Y28">
    <cfRule type="cellIs" dxfId="56" priority="9" stopIfTrue="1" operator="equal">
      <formula>0</formula>
    </cfRule>
  </conditionalFormatting>
  <conditionalFormatting sqref="T53:U53">
    <cfRule type="cellIs" dxfId="55" priority="8" stopIfTrue="1" operator="greaterThan">
      <formula>1</formula>
    </cfRule>
  </conditionalFormatting>
  <conditionalFormatting sqref="G18:M20 P18:V20">
    <cfRule type="cellIs" dxfId="54" priority="7" operator="equal">
      <formula>0</formula>
    </cfRule>
  </conditionalFormatting>
  <conditionalFormatting sqref="G48:M48 P48:V48">
    <cfRule type="expression" dxfId="53" priority="4">
      <formula>G48&lt;&gt;G18</formula>
    </cfRule>
  </conditionalFormatting>
  <conditionalFormatting sqref="P48:V48">
    <cfRule type="expression" dxfId="52" priority="5">
      <formula>P48&lt;&gt;P18</formula>
    </cfRule>
  </conditionalFormatting>
  <conditionalFormatting sqref="G30:L30 M24 N24:N28 N30 P30:U30 V24 P24 W24:W28 W30 W32:W42 P48:W48 G48:N48 G32:G35 N32:N42 G44:N44 P44:W44 G24">
    <cfRule type="cellIs" dxfId="51" priority="6" operator="equal">
      <formula>0</formula>
    </cfRule>
  </conditionalFormatting>
  <conditionalFormatting sqref="H24:L24 Q24:U24">
    <cfRule type="cellIs" dxfId="50" priority="3" operator="equal">
      <formula>0</formula>
    </cfRule>
  </conditionalFormatting>
  <conditionalFormatting sqref="M30">
    <cfRule type="cellIs" dxfId="49" priority="2" operator="equal">
      <formula>0</formula>
    </cfRule>
  </conditionalFormatting>
  <conditionalFormatting sqref="V30">
    <cfRule type="cellIs" dxfId="48" priority="1" operator="equal">
      <formula>0</formula>
    </cfRule>
  </conditionalFormatting>
  <pageMargins left="0.25" right="0.25" top="0.54" bottom="0.25" header="0" footer="0"/>
  <pageSetup scale="89" orientation="landscape"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43045</v>
      </c>
      <c r="H3" s="120">
        <f t="shared" si="0"/>
        <v>43046</v>
      </c>
      <c r="I3" s="120">
        <f t="shared" si="0"/>
        <v>43047</v>
      </c>
      <c r="J3" s="120">
        <f t="shared" si="0"/>
        <v>43048</v>
      </c>
      <c r="K3" s="120">
        <f t="shared" si="0"/>
        <v>43049</v>
      </c>
      <c r="L3" s="120">
        <f t="shared" si="0"/>
        <v>43050</v>
      </c>
      <c r="M3" s="120">
        <f t="shared" si="0"/>
        <v>43051</v>
      </c>
      <c r="N3" s="120"/>
      <c r="O3" s="120"/>
      <c r="P3" s="120">
        <f t="shared" si="1"/>
        <v>43052</v>
      </c>
      <c r="Q3" s="120">
        <f t="shared" si="1"/>
        <v>43053</v>
      </c>
      <c r="R3" s="120">
        <f t="shared" si="1"/>
        <v>43054</v>
      </c>
      <c r="S3" s="120">
        <f t="shared" si="1"/>
        <v>43055</v>
      </c>
      <c r="T3" s="120">
        <f t="shared" si="1"/>
        <v>43056</v>
      </c>
      <c r="U3" s="120">
        <f t="shared" si="1"/>
        <v>43057</v>
      </c>
      <c r="V3" s="120">
        <f t="shared" si="1"/>
        <v>43058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'P22'!R15+1</f>
        <v>23</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'P22'!L16</f>
        <v>2021</v>
      </c>
      <c r="M16" s="96"/>
      <c r="N16" s="97"/>
      <c r="O16" s="93"/>
      <c r="P16" s="143" t="s">
        <v>16</v>
      </c>
      <c r="Q16" s="113">
        <f>'P22'!Q16+14</f>
        <v>43045</v>
      </c>
      <c r="R16" s="144" t="s">
        <v>17</v>
      </c>
      <c r="S16" s="113">
        <f>Q16+13</f>
        <v>43058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'P22'!G18</f>
        <v>0</v>
      </c>
      <c r="H18" s="326">
        <f>'P22'!H18</f>
        <v>0.33333333333333331</v>
      </c>
      <c r="I18" s="326">
        <f>'P22'!I18</f>
        <v>0.33333333333333331</v>
      </c>
      <c r="J18" s="326">
        <f>'P22'!J18</f>
        <v>0.33333333333333331</v>
      </c>
      <c r="K18" s="326">
        <f>'P22'!K18</f>
        <v>0.33333333333333331</v>
      </c>
      <c r="L18" s="326">
        <f>'P22'!L18</f>
        <v>0.33333333333333331</v>
      </c>
      <c r="M18" s="326">
        <f>'P22'!M18</f>
        <v>0</v>
      </c>
      <c r="N18" s="231">
        <f>SUM(G18:M18)</f>
        <v>1.6666666666666665</v>
      </c>
      <c r="O18" s="79"/>
      <c r="P18" s="326">
        <f>'P22'!P18</f>
        <v>0</v>
      </c>
      <c r="Q18" s="326">
        <f>'P22'!Q18</f>
        <v>0.33333333333333331</v>
      </c>
      <c r="R18" s="326">
        <f>'P22'!R18</f>
        <v>0.33333333333333331</v>
      </c>
      <c r="S18" s="326">
        <f>'P22'!S18</f>
        <v>0.33333333333333331</v>
      </c>
      <c r="T18" s="326">
        <f>'P22'!T18</f>
        <v>0.33333333333333331</v>
      </c>
      <c r="U18" s="326">
        <f>'P22'!U18</f>
        <v>0.33333333333333331</v>
      </c>
      <c r="V18" s="326">
        <f>'P22'!V18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'P22'!G19</f>
        <v>0</v>
      </c>
      <c r="H19" s="326">
        <f>'P22'!H19</f>
        <v>0.3125</v>
      </c>
      <c r="I19" s="326">
        <f>'P22'!I19</f>
        <v>0.3125</v>
      </c>
      <c r="J19" s="326">
        <f>'P22'!J19</f>
        <v>0.3125</v>
      </c>
      <c r="K19" s="326">
        <f>'P22'!K19</f>
        <v>0.3125</v>
      </c>
      <c r="L19" s="326">
        <f>'P22'!L19</f>
        <v>0.3125</v>
      </c>
      <c r="M19" s="326">
        <f>'P22'!M19</f>
        <v>0</v>
      </c>
      <c r="N19" s="87"/>
      <c r="O19" s="83"/>
      <c r="P19" s="326">
        <f>'P22'!P19</f>
        <v>0</v>
      </c>
      <c r="Q19" s="326">
        <f>'P22'!Q19</f>
        <v>0.3125</v>
      </c>
      <c r="R19" s="326">
        <f>'P22'!R19</f>
        <v>0.3125</v>
      </c>
      <c r="S19" s="326">
        <f>'P22'!S19</f>
        <v>0.3125</v>
      </c>
      <c r="T19" s="326">
        <f>'P22'!T19</f>
        <v>0.3125</v>
      </c>
      <c r="U19" s="326">
        <f>'P22'!U19</f>
        <v>0.3125</v>
      </c>
      <c r="V19" s="326">
        <f>'P22'!V19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'P22'!G20</f>
        <v>0</v>
      </c>
      <c r="H20" s="326">
        <f>'P22'!H20</f>
        <v>0.1875</v>
      </c>
      <c r="I20" s="326">
        <f>'P22'!I20</f>
        <v>0.1875</v>
      </c>
      <c r="J20" s="326">
        <f>'P22'!J20</f>
        <v>0.1875</v>
      </c>
      <c r="K20" s="326">
        <f>'P22'!K20</f>
        <v>0.1875</v>
      </c>
      <c r="L20" s="326">
        <f>'P22'!L20</f>
        <v>0.1875</v>
      </c>
      <c r="M20" s="326">
        <f>'P22'!M20</f>
        <v>0</v>
      </c>
      <c r="N20" s="112"/>
      <c r="O20" s="245"/>
      <c r="P20" s="326">
        <f>'P22'!P20</f>
        <v>0</v>
      </c>
      <c r="Q20" s="326">
        <f>'P22'!Q20</f>
        <v>0.1875</v>
      </c>
      <c r="R20" s="326">
        <f>'P22'!R20</f>
        <v>0.1875</v>
      </c>
      <c r="S20" s="326">
        <f>'P22'!S20</f>
        <v>0.1875</v>
      </c>
      <c r="T20" s="326">
        <f>'P22'!T20</f>
        <v>0.1875</v>
      </c>
      <c r="U20" s="326">
        <f>'P22'!U20</f>
        <v>0.1875</v>
      </c>
      <c r="V20" s="326">
        <f>'P22'!V20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43045</v>
      </c>
      <c r="H23" s="175">
        <f t="shared" ref="H23:M23" si="4">G23+1</f>
        <v>43046</v>
      </c>
      <c r="I23" s="175">
        <f t="shared" si="4"/>
        <v>43047</v>
      </c>
      <c r="J23" s="175">
        <f t="shared" si="4"/>
        <v>43048</v>
      </c>
      <c r="K23" s="175">
        <f t="shared" si="4"/>
        <v>43049</v>
      </c>
      <c r="L23" s="175">
        <f t="shared" si="4"/>
        <v>43050</v>
      </c>
      <c r="M23" s="175">
        <f t="shared" si="4"/>
        <v>43051</v>
      </c>
      <c r="N23" s="176"/>
      <c r="O23" s="84"/>
      <c r="P23" s="175">
        <f>M23+1</f>
        <v>43052</v>
      </c>
      <c r="Q23" s="175">
        <f t="shared" ref="Q23:V23" si="5">P23+1</f>
        <v>43053</v>
      </c>
      <c r="R23" s="175">
        <f t="shared" si="5"/>
        <v>43054</v>
      </c>
      <c r="S23" s="175">
        <f t="shared" si="5"/>
        <v>43055</v>
      </c>
      <c r="T23" s="175">
        <f t="shared" si="5"/>
        <v>43056</v>
      </c>
      <c r="U23" s="175">
        <f t="shared" si="5"/>
        <v>43057</v>
      </c>
      <c r="V23" s="175">
        <f t="shared" si="5"/>
        <v>43058</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'P22'!AD25</f>
        <v>0.33333333333333331</v>
      </c>
      <c r="AD25" s="229">
        <f>MOD(ROUND(96*(AC25+Y48-Y42),0)/96,Instructions!C14)</f>
        <v>0.66666666666666663</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'P22'!AD26</f>
        <v>0.33333333333333331</v>
      </c>
      <c r="AD26" s="229">
        <f>MOD(ROUND(96*(AC26+Y48-Y42),0)/96,20/24)</f>
        <v>0.66666666666666663</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3.8333333333333317</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3.8333333333333317</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'P22'!AC37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v>0.33333333333333331</v>
      </c>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0.33333333333333331</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0.33333333333333331</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0.33333333333333331</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'P22'!T51</f>
        <v>3.6666666666666652</v>
      </c>
      <c r="Q51" s="505"/>
      <c r="R51" s="207">
        <f>+Y54*AC38</f>
        <v>0.16666666666666666</v>
      </c>
      <c r="S51" s="207">
        <f>Y33+Y51</f>
        <v>0</v>
      </c>
      <c r="T51" s="494">
        <f t="shared" ref="T51:T56" si="19">P51+R51-S51</f>
        <v>3.8333333333333317</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'P22'!T52</f>
        <v>3.6666666666666652</v>
      </c>
      <c r="Q52" s="493"/>
      <c r="R52" s="208">
        <f>+Y55*AC38</f>
        <v>0.16666666666666666</v>
      </c>
      <c r="S52" s="207">
        <f>Y34+Y35</f>
        <v>0</v>
      </c>
      <c r="T52" s="478">
        <f t="shared" si="19"/>
        <v>3.8333333333333317</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MIN(Instructions!$C$7,'P22'!T53)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'P22'!T54</f>
        <v>0</v>
      </c>
      <c r="Q54" s="493"/>
      <c r="R54" s="208">
        <f>Y27</f>
        <v>0</v>
      </c>
      <c r="S54" s="208">
        <f>Y36</f>
        <v>0</v>
      </c>
      <c r="T54" s="478">
        <f t="shared" si="19"/>
        <v>0</v>
      </c>
      <c r="U54" s="480"/>
      <c r="V54" s="93"/>
      <c r="W54" s="247" t="s">
        <v>123</v>
      </c>
      <c r="X54" s="76"/>
      <c r="Y54" s="257">
        <f>IF(Instructions!A14=0,'P22'!Y54,FLOOR((ROUND(96*(AC25+Y48-Y42),0)/96)/Instructions!C14,1)/24)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'P22'!T55</f>
        <v>0</v>
      </c>
      <c r="Q55" s="493"/>
      <c r="R55" s="208">
        <f>Y28</f>
        <v>0</v>
      </c>
      <c r="S55" s="208">
        <f>Y37</f>
        <v>0</v>
      </c>
      <c r="T55" s="478">
        <f t="shared" si="19"/>
        <v>0</v>
      </c>
      <c r="U55" s="480"/>
      <c r="V55" s="93"/>
      <c r="W55" s="247" t="s">
        <v>124</v>
      </c>
      <c r="X55" s="76"/>
      <c r="Y55" s="257">
        <f>IF(Instructions!A14=0,'P22'!Y55,FLOOR((ROUND(96*(AC26+Y48-Y42),0)/96)/20,1/24))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'P22'!T56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'P22'!T57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'P22'!B59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'P22'!B61</f>
        <v>____________________________</v>
      </c>
      <c r="C61" s="93"/>
      <c r="D61" s="93"/>
      <c r="E61" s="93"/>
      <c r="F61" s="93"/>
      <c r="G61" s="93"/>
      <c r="H61" s="250"/>
      <c r="I61" s="250">
        <f>'P22'!I61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'P22'!B62</f>
        <v xml:space="preserve">    Employee Signature</v>
      </c>
      <c r="C62" s="96"/>
      <c r="D62" s="96"/>
      <c r="E62" s="96"/>
      <c r="F62" s="96"/>
      <c r="G62" s="96"/>
      <c r="H62" s="96"/>
      <c r="I62" s="260">
        <f>'P22'!I62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0.33333333333333331</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47" priority="12" stopIfTrue="1" operator="equal">
      <formula>TODAY()</formula>
    </cfRule>
  </conditionalFormatting>
  <conditionalFormatting sqref="O23:V23 G23:M23">
    <cfRule type="cellIs" dxfId="46" priority="11" stopIfTrue="1" operator="equal">
      <formula>TODAY()</formula>
    </cfRule>
  </conditionalFormatting>
  <conditionalFormatting sqref="G12:M13 P12:V13">
    <cfRule type="cellIs" dxfId="45" priority="10" stopIfTrue="1" operator="equal">
      <formula>0</formula>
    </cfRule>
  </conditionalFormatting>
  <conditionalFormatting sqref="G46:N46 P46:W46 Y46 Y44 Y32:Y42 Y30 Y24:Y28">
    <cfRule type="cellIs" dxfId="44" priority="9" stopIfTrue="1" operator="equal">
      <formula>0</formula>
    </cfRule>
  </conditionalFormatting>
  <conditionalFormatting sqref="T53:U53">
    <cfRule type="cellIs" dxfId="43" priority="8" stopIfTrue="1" operator="greaterThan">
      <formula>1</formula>
    </cfRule>
  </conditionalFormatting>
  <conditionalFormatting sqref="G18:M20 P18:V20">
    <cfRule type="cellIs" dxfId="42" priority="7" operator="equal">
      <formula>0</formula>
    </cfRule>
  </conditionalFormatting>
  <conditionalFormatting sqref="G48:M48 P48:V48">
    <cfRule type="expression" dxfId="41" priority="4">
      <formula>G48&lt;&gt;G18</formula>
    </cfRule>
  </conditionalFormatting>
  <conditionalFormatting sqref="P48:V48">
    <cfRule type="expression" dxfId="40" priority="5">
      <formula>P48&lt;&gt;P18</formula>
    </cfRule>
  </conditionalFormatting>
  <conditionalFormatting sqref="G30:L30 M24 N24:N28 N30 P30:U30 V24 P24 W24:W28 W30 W32:W42 P48:W48 G48:N48 G32:G35 N32:N42 G44:N44 P44:W44 G24">
    <cfRule type="cellIs" dxfId="39" priority="6" operator="equal">
      <formula>0</formula>
    </cfRule>
  </conditionalFormatting>
  <conditionalFormatting sqref="H24:L24 Q24:U24">
    <cfRule type="cellIs" dxfId="38" priority="3" operator="equal">
      <formula>0</formula>
    </cfRule>
  </conditionalFormatting>
  <conditionalFormatting sqref="M30">
    <cfRule type="cellIs" dxfId="37" priority="2" operator="equal">
      <formula>0</formula>
    </cfRule>
  </conditionalFormatting>
  <conditionalFormatting sqref="V30">
    <cfRule type="cellIs" dxfId="36" priority="1" operator="equal">
      <formula>0</formula>
    </cfRule>
  </conditionalFormatting>
  <pageMargins left="0.25" right="0.25" top="0.54" bottom="0.25" header="0" footer="0"/>
  <pageSetup scale="89" orientation="landscape"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43059</v>
      </c>
      <c r="H3" s="120">
        <f t="shared" si="0"/>
        <v>43060</v>
      </c>
      <c r="I3" s="120">
        <f t="shared" si="0"/>
        <v>43061</v>
      </c>
      <c r="J3" s="120">
        <f t="shared" si="0"/>
        <v>43062</v>
      </c>
      <c r="K3" s="120">
        <f t="shared" si="0"/>
        <v>43063</v>
      </c>
      <c r="L3" s="120">
        <f t="shared" si="0"/>
        <v>43064</v>
      </c>
      <c r="M3" s="120">
        <f t="shared" si="0"/>
        <v>43065</v>
      </c>
      <c r="N3" s="120"/>
      <c r="O3" s="120"/>
      <c r="P3" s="120">
        <f t="shared" si="1"/>
        <v>43066</v>
      </c>
      <c r="Q3" s="120">
        <f t="shared" si="1"/>
        <v>43067</v>
      </c>
      <c r="R3" s="120">
        <f t="shared" si="1"/>
        <v>43068</v>
      </c>
      <c r="S3" s="120">
        <f t="shared" si="1"/>
        <v>43069</v>
      </c>
      <c r="T3" s="120">
        <f t="shared" si="1"/>
        <v>43070</v>
      </c>
      <c r="U3" s="120">
        <f t="shared" si="1"/>
        <v>43071</v>
      </c>
      <c r="V3" s="120">
        <f t="shared" si="1"/>
        <v>43072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'P23'!R15+1</f>
        <v>24</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'P23'!L16</f>
        <v>2021</v>
      </c>
      <c r="M16" s="96"/>
      <c r="N16" s="97"/>
      <c r="O16" s="93"/>
      <c r="P16" s="143" t="s">
        <v>16</v>
      </c>
      <c r="Q16" s="113">
        <f>'P23'!Q16+14</f>
        <v>43059</v>
      </c>
      <c r="R16" s="144" t="s">
        <v>17</v>
      </c>
      <c r="S16" s="113">
        <f>Q16+13</f>
        <v>43072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'P23'!G18</f>
        <v>0</v>
      </c>
      <c r="H18" s="326">
        <f>'P23'!H18</f>
        <v>0.33333333333333331</v>
      </c>
      <c r="I18" s="326">
        <f>'P23'!I18</f>
        <v>0.33333333333333331</v>
      </c>
      <c r="J18" s="326">
        <f>'P23'!J18</f>
        <v>0.33333333333333331</v>
      </c>
      <c r="K18" s="326">
        <f>'P23'!K18</f>
        <v>0.33333333333333331</v>
      </c>
      <c r="L18" s="326">
        <f>'P23'!L18</f>
        <v>0.33333333333333331</v>
      </c>
      <c r="M18" s="326">
        <f>'P23'!M18</f>
        <v>0</v>
      </c>
      <c r="N18" s="231">
        <f>SUM(G18:M18)</f>
        <v>1.6666666666666665</v>
      </c>
      <c r="O18" s="79"/>
      <c r="P18" s="326">
        <f>'P23'!P18</f>
        <v>0</v>
      </c>
      <c r="Q18" s="326">
        <f>'P23'!Q18</f>
        <v>0.33333333333333331</v>
      </c>
      <c r="R18" s="326">
        <f>'P23'!R18</f>
        <v>0.33333333333333331</v>
      </c>
      <c r="S18" s="326">
        <f>'P23'!S18</f>
        <v>0.33333333333333331</v>
      </c>
      <c r="T18" s="326">
        <f>'P23'!T18</f>
        <v>0.33333333333333331</v>
      </c>
      <c r="U18" s="326">
        <f>'P23'!U18</f>
        <v>0.33333333333333331</v>
      </c>
      <c r="V18" s="326">
        <f>'P23'!V18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'P23'!G19</f>
        <v>0</v>
      </c>
      <c r="H19" s="326">
        <f>'P23'!H19</f>
        <v>0.3125</v>
      </c>
      <c r="I19" s="326">
        <f>'P23'!I19</f>
        <v>0.3125</v>
      </c>
      <c r="J19" s="326">
        <f>'P23'!J19</f>
        <v>0.3125</v>
      </c>
      <c r="K19" s="326">
        <f>'P23'!K19</f>
        <v>0.3125</v>
      </c>
      <c r="L19" s="326">
        <f>'P23'!L19</f>
        <v>0.3125</v>
      </c>
      <c r="M19" s="326">
        <f>'P23'!M19</f>
        <v>0</v>
      </c>
      <c r="N19" s="87"/>
      <c r="O19" s="83"/>
      <c r="P19" s="326">
        <f>'P23'!P19</f>
        <v>0</v>
      </c>
      <c r="Q19" s="326">
        <f>'P23'!Q19</f>
        <v>0.3125</v>
      </c>
      <c r="R19" s="326">
        <f>'P23'!R19</f>
        <v>0.3125</v>
      </c>
      <c r="S19" s="326">
        <f>'P23'!S19</f>
        <v>0.3125</v>
      </c>
      <c r="T19" s="326">
        <f>'P23'!T19</f>
        <v>0.3125</v>
      </c>
      <c r="U19" s="326">
        <f>'P23'!U19</f>
        <v>0.3125</v>
      </c>
      <c r="V19" s="326">
        <f>'P23'!V19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'P23'!G20</f>
        <v>0</v>
      </c>
      <c r="H20" s="326">
        <f>'P23'!H20</f>
        <v>0.1875</v>
      </c>
      <c r="I20" s="326">
        <f>'P23'!I20</f>
        <v>0.1875</v>
      </c>
      <c r="J20" s="326">
        <f>'P23'!J20</f>
        <v>0.1875</v>
      </c>
      <c r="K20" s="326">
        <f>'P23'!K20</f>
        <v>0.1875</v>
      </c>
      <c r="L20" s="326">
        <f>'P23'!L20</f>
        <v>0.1875</v>
      </c>
      <c r="M20" s="326">
        <f>'P23'!M20</f>
        <v>0</v>
      </c>
      <c r="N20" s="112"/>
      <c r="O20" s="245"/>
      <c r="P20" s="326">
        <f>'P23'!P20</f>
        <v>0</v>
      </c>
      <c r="Q20" s="326">
        <f>'P23'!Q20</f>
        <v>0.1875</v>
      </c>
      <c r="R20" s="326">
        <f>'P23'!R20</f>
        <v>0.1875</v>
      </c>
      <c r="S20" s="326">
        <f>'P23'!S20</f>
        <v>0.1875</v>
      </c>
      <c r="T20" s="326">
        <f>'P23'!T20</f>
        <v>0.1875</v>
      </c>
      <c r="U20" s="326">
        <f>'P23'!U20</f>
        <v>0.1875</v>
      </c>
      <c r="V20" s="326">
        <f>'P23'!V20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43059</v>
      </c>
      <c r="H23" s="175">
        <f t="shared" ref="H23:M23" si="4">G23+1</f>
        <v>43060</v>
      </c>
      <c r="I23" s="175">
        <f t="shared" si="4"/>
        <v>43061</v>
      </c>
      <c r="J23" s="175">
        <f t="shared" si="4"/>
        <v>43062</v>
      </c>
      <c r="K23" s="175">
        <f t="shared" si="4"/>
        <v>43063</v>
      </c>
      <c r="L23" s="175">
        <f t="shared" si="4"/>
        <v>43064</v>
      </c>
      <c r="M23" s="175">
        <f t="shared" si="4"/>
        <v>43065</v>
      </c>
      <c r="N23" s="176"/>
      <c r="O23" s="84"/>
      <c r="P23" s="175">
        <f>M23+1</f>
        <v>43066</v>
      </c>
      <c r="Q23" s="175">
        <f t="shared" ref="Q23:V23" si="5">P23+1</f>
        <v>43067</v>
      </c>
      <c r="R23" s="175">
        <f t="shared" si="5"/>
        <v>43068</v>
      </c>
      <c r="S23" s="175">
        <f t="shared" si="5"/>
        <v>43069</v>
      </c>
      <c r="T23" s="175">
        <f t="shared" si="5"/>
        <v>43070</v>
      </c>
      <c r="U23" s="175">
        <f t="shared" si="5"/>
        <v>43071</v>
      </c>
      <c r="V23" s="175">
        <f t="shared" si="5"/>
        <v>43072</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'P23'!AD25</f>
        <v>0.66666666666666663</v>
      </c>
      <c r="AD25" s="229">
        <f>MOD(ROUND(96*(AC25+Y48-Y42),0)/96,Instructions!C14)</f>
        <v>0.16666666666666663</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'P23'!AD26</f>
        <v>0.66666666666666663</v>
      </c>
      <c r="AD26" s="229">
        <f>MOD(ROUND(96*(AC26+Y48-Y42),0)/96,20/24)</f>
        <v>0.16666666666666663</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3.9999999999999982</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3.9999999999999982</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'P23'!AC37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v>0.33333333333333331</v>
      </c>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0.33333333333333331</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0.33333333333333331</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0.33333333333333331</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'P23'!T51</f>
        <v>3.8333333333333317</v>
      </c>
      <c r="Q51" s="505"/>
      <c r="R51" s="207">
        <f>+Y54*AC38</f>
        <v>0.16666666666666666</v>
      </c>
      <c r="S51" s="207">
        <f>Y33+Y51</f>
        <v>0</v>
      </c>
      <c r="T51" s="494">
        <f t="shared" ref="T51:T56" si="19">P51+R51-S51</f>
        <v>3.9999999999999982</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'P23'!T52</f>
        <v>3.8333333333333317</v>
      </c>
      <c r="Q52" s="493"/>
      <c r="R52" s="208">
        <f>+Y55*AC38</f>
        <v>0.16666666666666666</v>
      </c>
      <c r="S52" s="207">
        <f>Y34+Y35</f>
        <v>0</v>
      </c>
      <c r="T52" s="478">
        <f t="shared" si="19"/>
        <v>3.9999999999999982</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MIN(Instructions!$C$7,'P23'!T53)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'P23'!T54</f>
        <v>0</v>
      </c>
      <c r="Q54" s="493"/>
      <c r="R54" s="208">
        <f>Y27</f>
        <v>0</v>
      </c>
      <c r="S54" s="208">
        <f>Y36</f>
        <v>0</v>
      </c>
      <c r="T54" s="478">
        <f t="shared" si="19"/>
        <v>0</v>
      </c>
      <c r="U54" s="480"/>
      <c r="V54" s="93"/>
      <c r="W54" s="247" t="s">
        <v>123</v>
      </c>
      <c r="X54" s="76"/>
      <c r="Y54" s="257">
        <f>IF(Instructions!A14=0,'P23'!Y54,FLOOR((ROUND(96*(AC25+Y48-Y42),0)/96)/Instructions!C14,1)/24)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'P23'!T55</f>
        <v>0</v>
      </c>
      <c r="Q55" s="493"/>
      <c r="R55" s="208">
        <f>Y28</f>
        <v>0</v>
      </c>
      <c r="S55" s="208">
        <f>Y37</f>
        <v>0</v>
      </c>
      <c r="T55" s="478">
        <f t="shared" si="19"/>
        <v>0</v>
      </c>
      <c r="U55" s="480"/>
      <c r="V55" s="93"/>
      <c r="W55" s="247" t="s">
        <v>124</v>
      </c>
      <c r="X55" s="76"/>
      <c r="Y55" s="257">
        <f>IF(Instructions!A14=0,'P23'!Y55,FLOOR((ROUND(96*(AC26+Y48-Y42),0)/96)/20,1/24))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'P23'!T56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'P23'!T57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'P23'!B59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'P23'!B61</f>
        <v>____________________________</v>
      </c>
      <c r="C61" s="93"/>
      <c r="D61" s="93"/>
      <c r="E61" s="93"/>
      <c r="F61" s="93"/>
      <c r="G61" s="93"/>
      <c r="H61" s="250"/>
      <c r="I61" s="250">
        <f>'P23'!I61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'P23'!B62</f>
        <v xml:space="preserve">    Employee Signature</v>
      </c>
      <c r="C62" s="96"/>
      <c r="D62" s="96"/>
      <c r="E62" s="96"/>
      <c r="F62" s="96"/>
      <c r="G62" s="96"/>
      <c r="H62" s="96"/>
      <c r="I62" s="260">
        <f>'P23'!I62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0.33333333333333331</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35" priority="12" stopIfTrue="1" operator="equal">
      <formula>TODAY()</formula>
    </cfRule>
  </conditionalFormatting>
  <conditionalFormatting sqref="O23:V23 G23:M23">
    <cfRule type="cellIs" dxfId="34" priority="11" stopIfTrue="1" operator="equal">
      <formula>TODAY()</formula>
    </cfRule>
  </conditionalFormatting>
  <conditionalFormatting sqref="G12:M13 P12:V13">
    <cfRule type="cellIs" dxfId="33" priority="10" stopIfTrue="1" operator="equal">
      <formula>0</formula>
    </cfRule>
  </conditionalFormatting>
  <conditionalFormatting sqref="G46:N46 P46:W46 Y46 Y44 Y32:Y42 Y30 Y24:Y28">
    <cfRule type="cellIs" dxfId="32" priority="9" stopIfTrue="1" operator="equal">
      <formula>0</formula>
    </cfRule>
  </conditionalFormatting>
  <conditionalFormatting sqref="T53:U53">
    <cfRule type="cellIs" dxfId="31" priority="8" stopIfTrue="1" operator="greaterThan">
      <formula>1</formula>
    </cfRule>
  </conditionalFormatting>
  <conditionalFormatting sqref="G18:M20 P18:V20">
    <cfRule type="cellIs" dxfId="30" priority="7" operator="equal">
      <formula>0</formula>
    </cfRule>
  </conditionalFormatting>
  <conditionalFormatting sqref="G48:M48 P48:V48">
    <cfRule type="expression" dxfId="29" priority="4">
      <formula>G48&lt;&gt;G18</formula>
    </cfRule>
  </conditionalFormatting>
  <conditionalFormatting sqref="P48:V48">
    <cfRule type="expression" dxfId="28" priority="5">
      <formula>P48&lt;&gt;P18</formula>
    </cfRule>
  </conditionalFormatting>
  <conditionalFormatting sqref="G30:L30 M24 N24:N28 N30 P30:U30 V24 P24 W24:W28 W30 W32:W42 P48:W48 G48:N48 G32:G35 N32:N42 G44:N44 P44:W44 G24">
    <cfRule type="cellIs" dxfId="27" priority="6" operator="equal">
      <formula>0</formula>
    </cfRule>
  </conditionalFormatting>
  <conditionalFormatting sqref="H24:L24 Q24:U24">
    <cfRule type="cellIs" dxfId="26" priority="3" operator="equal">
      <formula>0</formula>
    </cfRule>
  </conditionalFormatting>
  <conditionalFormatting sqref="M30">
    <cfRule type="cellIs" dxfId="25" priority="2" operator="equal">
      <formula>0</formula>
    </cfRule>
  </conditionalFormatting>
  <conditionalFormatting sqref="V30">
    <cfRule type="cellIs" dxfId="24" priority="1" operator="equal">
      <formula>0</formula>
    </cfRule>
  </conditionalFormatting>
  <pageMargins left="0.25" right="0.25" top="0.54" bottom="0.25" header="0" footer="0"/>
  <pageSetup scale="89" orientation="landscape"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43073</v>
      </c>
      <c r="H3" s="120">
        <f t="shared" si="0"/>
        <v>43074</v>
      </c>
      <c r="I3" s="120">
        <f t="shared" si="0"/>
        <v>43075</v>
      </c>
      <c r="J3" s="120">
        <f t="shared" si="0"/>
        <v>43076</v>
      </c>
      <c r="K3" s="120">
        <f t="shared" si="0"/>
        <v>43077</v>
      </c>
      <c r="L3" s="120">
        <f t="shared" si="0"/>
        <v>43078</v>
      </c>
      <c r="M3" s="120">
        <f t="shared" si="0"/>
        <v>43079</v>
      </c>
      <c r="N3" s="120"/>
      <c r="O3" s="120"/>
      <c r="P3" s="120">
        <f t="shared" si="1"/>
        <v>43080</v>
      </c>
      <c r="Q3" s="120">
        <f t="shared" si="1"/>
        <v>43081</v>
      </c>
      <c r="R3" s="120">
        <f t="shared" si="1"/>
        <v>43082</v>
      </c>
      <c r="S3" s="120">
        <f t="shared" si="1"/>
        <v>43083</v>
      </c>
      <c r="T3" s="120">
        <f t="shared" si="1"/>
        <v>43084</v>
      </c>
      <c r="U3" s="120">
        <f t="shared" si="1"/>
        <v>43085</v>
      </c>
      <c r="V3" s="120">
        <f t="shared" si="1"/>
        <v>43086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'P24'!R15+1</f>
        <v>25</v>
      </c>
      <c r="S15" s="90"/>
      <c r="T15" s="99" t="s">
        <v>180</v>
      </c>
      <c r="U15" s="90"/>
      <c r="V15" s="90"/>
      <c r="W15" s="139"/>
      <c r="X15" s="139"/>
      <c r="Y15" s="60"/>
      <c r="Z15" s="93"/>
      <c r="AA15" s="194"/>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'P24'!L16</f>
        <v>2021</v>
      </c>
      <c r="M16" s="96"/>
      <c r="N16" s="97"/>
      <c r="O16" s="93"/>
      <c r="P16" s="143" t="s">
        <v>16</v>
      </c>
      <c r="Q16" s="113">
        <f>'P24'!Q16+14</f>
        <v>43073</v>
      </c>
      <c r="R16" s="144" t="s">
        <v>17</v>
      </c>
      <c r="S16" s="113">
        <f>Q16+13</f>
        <v>43086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'P24'!G18</f>
        <v>0</v>
      </c>
      <c r="H18" s="326">
        <f>'P24'!H18</f>
        <v>0.33333333333333331</v>
      </c>
      <c r="I18" s="326">
        <f>'P24'!I18</f>
        <v>0.33333333333333331</v>
      </c>
      <c r="J18" s="326">
        <f>'P24'!J18</f>
        <v>0.33333333333333331</v>
      </c>
      <c r="K18" s="326">
        <f>'P24'!K18</f>
        <v>0.33333333333333331</v>
      </c>
      <c r="L18" s="326">
        <f>'P24'!L18</f>
        <v>0.33333333333333331</v>
      </c>
      <c r="M18" s="326">
        <f>'P24'!M18</f>
        <v>0</v>
      </c>
      <c r="N18" s="231">
        <f>SUM(G18:M18)</f>
        <v>1.6666666666666665</v>
      </c>
      <c r="O18" s="79"/>
      <c r="P18" s="326">
        <f>'P24'!P18</f>
        <v>0</v>
      </c>
      <c r="Q18" s="326">
        <f>'P24'!Q18</f>
        <v>0.33333333333333331</v>
      </c>
      <c r="R18" s="326">
        <f>'P24'!R18</f>
        <v>0.33333333333333331</v>
      </c>
      <c r="S18" s="326">
        <f>'P24'!S18</f>
        <v>0.33333333333333331</v>
      </c>
      <c r="T18" s="326">
        <f>'P24'!T18</f>
        <v>0.33333333333333331</v>
      </c>
      <c r="U18" s="326">
        <f>'P24'!U18</f>
        <v>0.33333333333333331</v>
      </c>
      <c r="V18" s="326">
        <f>'P24'!V18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'P24'!G19</f>
        <v>0</v>
      </c>
      <c r="H19" s="326">
        <f>'P24'!H19</f>
        <v>0.3125</v>
      </c>
      <c r="I19" s="326">
        <f>'P24'!I19</f>
        <v>0.3125</v>
      </c>
      <c r="J19" s="326">
        <f>'P24'!J19</f>
        <v>0.3125</v>
      </c>
      <c r="K19" s="326">
        <f>'P24'!K19</f>
        <v>0.3125</v>
      </c>
      <c r="L19" s="326">
        <f>'P24'!L19</f>
        <v>0.3125</v>
      </c>
      <c r="M19" s="326">
        <f>'P24'!M19</f>
        <v>0</v>
      </c>
      <c r="N19" s="87"/>
      <c r="O19" s="83"/>
      <c r="P19" s="326">
        <f>'P24'!P19</f>
        <v>0</v>
      </c>
      <c r="Q19" s="326">
        <f>'P24'!Q19</f>
        <v>0.3125</v>
      </c>
      <c r="R19" s="326">
        <f>'P24'!R19</f>
        <v>0.3125</v>
      </c>
      <c r="S19" s="326">
        <f>'P24'!S19</f>
        <v>0.3125</v>
      </c>
      <c r="T19" s="326">
        <f>'P24'!T19</f>
        <v>0.3125</v>
      </c>
      <c r="U19" s="326">
        <f>'P24'!U19</f>
        <v>0.3125</v>
      </c>
      <c r="V19" s="326">
        <f>'P24'!V19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'P24'!G20</f>
        <v>0</v>
      </c>
      <c r="H20" s="326">
        <f>'P24'!H20</f>
        <v>0.1875</v>
      </c>
      <c r="I20" s="326">
        <f>'P24'!I20</f>
        <v>0.1875</v>
      </c>
      <c r="J20" s="326">
        <f>'P24'!J20</f>
        <v>0.1875</v>
      </c>
      <c r="K20" s="326">
        <f>'P24'!K20</f>
        <v>0.1875</v>
      </c>
      <c r="L20" s="326">
        <f>'P24'!L20</f>
        <v>0.1875</v>
      </c>
      <c r="M20" s="326">
        <f>'P24'!M20</f>
        <v>0</v>
      </c>
      <c r="N20" s="112"/>
      <c r="O20" s="245"/>
      <c r="P20" s="326">
        <f>'P24'!P20</f>
        <v>0</v>
      </c>
      <c r="Q20" s="326">
        <f>'P24'!Q20</f>
        <v>0.1875</v>
      </c>
      <c r="R20" s="326">
        <f>'P24'!R20</f>
        <v>0.1875</v>
      </c>
      <c r="S20" s="326">
        <f>'P24'!S20</f>
        <v>0.1875</v>
      </c>
      <c r="T20" s="326">
        <f>'P24'!T20</f>
        <v>0.1875</v>
      </c>
      <c r="U20" s="326">
        <f>'P24'!U20</f>
        <v>0.1875</v>
      </c>
      <c r="V20" s="326">
        <f>'P24'!V20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43073</v>
      </c>
      <c r="H23" s="175">
        <f t="shared" ref="H23:M23" si="4">G23+1</f>
        <v>43074</v>
      </c>
      <c r="I23" s="175">
        <f t="shared" si="4"/>
        <v>43075</v>
      </c>
      <c r="J23" s="175">
        <f t="shared" si="4"/>
        <v>43076</v>
      </c>
      <c r="K23" s="175">
        <f t="shared" si="4"/>
        <v>43077</v>
      </c>
      <c r="L23" s="175">
        <f t="shared" si="4"/>
        <v>43078</v>
      </c>
      <c r="M23" s="175">
        <f t="shared" si="4"/>
        <v>43079</v>
      </c>
      <c r="N23" s="176"/>
      <c r="O23" s="84"/>
      <c r="P23" s="175">
        <f>M23+1</f>
        <v>43080</v>
      </c>
      <c r="Q23" s="175">
        <f t="shared" ref="Q23:V23" si="5">P23+1</f>
        <v>43081</v>
      </c>
      <c r="R23" s="175">
        <f t="shared" si="5"/>
        <v>43082</v>
      </c>
      <c r="S23" s="175">
        <f t="shared" si="5"/>
        <v>43083</v>
      </c>
      <c r="T23" s="175">
        <f t="shared" si="5"/>
        <v>43084</v>
      </c>
      <c r="U23" s="175">
        <f t="shared" si="5"/>
        <v>43085</v>
      </c>
      <c r="V23" s="175">
        <f t="shared" si="5"/>
        <v>43086</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'P24'!AD25</f>
        <v>0.16666666666666663</v>
      </c>
      <c r="AD25" s="229">
        <f>MOD(ROUND(96*(AC25+Y48-Y42),0)/96,Instructions!C14)</f>
        <v>0.16666666666666666</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'P24'!AD26</f>
        <v>0.16666666666666663</v>
      </c>
      <c r="AD26" s="229">
        <f>MOD(ROUND(96*(AC26+Y48-Y42),0)/96,20/24)</f>
        <v>0.16666666666666666</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4.1666666666666652</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4.1666666666666652</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'P24'!AC37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'P24'!T51</f>
        <v>3.9999999999999982</v>
      </c>
      <c r="Q51" s="505"/>
      <c r="R51" s="207">
        <f>+Y54*AC38</f>
        <v>0.16666666666666666</v>
      </c>
      <c r="S51" s="207">
        <f>Y33+Y51</f>
        <v>0</v>
      </c>
      <c r="T51" s="494">
        <f t="shared" ref="T51:T56" si="19">P51+R51-S51</f>
        <v>4.1666666666666652</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'P24'!T52</f>
        <v>3.9999999999999982</v>
      </c>
      <c r="Q52" s="493"/>
      <c r="R52" s="208">
        <f>+Y55*AC38</f>
        <v>0.16666666666666666</v>
      </c>
      <c r="S52" s="207">
        <f>Y34+Y35</f>
        <v>0</v>
      </c>
      <c r="T52" s="478">
        <f t="shared" si="19"/>
        <v>4.1666666666666652</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MIN(Instructions!$C$7,'P24'!T53)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'P24'!T54</f>
        <v>0</v>
      </c>
      <c r="Q54" s="493"/>
      <c r="R54" s="208">
        <f>Y27</f>
        <v>0</v>
      </c>
      <c r="S54" s="208">
        <f>Y36</f>
        <v>0</v>
      </c>
      <c r="T54" s="478">
        <f t="shared" si="19"/>
        <v>0</v>
      </c>
      <c r="U54" s="480"/>
      <c r="V54" s="93"/>
      <c r="W54" s="247" t="s">
        <v>123</v>
      </c>
      <c r="X54" s="76"/>
      <c r="Y54" s="257">
        <f>IF(Instructions!A14=0,IF('P24'!Y54=TIME(6,0,0),TIME(10,0,0),'P24'!Y54),FLOOR((ROUND(96*(AC25+Y48-Y42),0)/96)/Instructions!C14,1)/24)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'P24'!T55</f>
        <v>0</v>
      </c>
      <c r="Q55" s="493"/>
      <c r="R55" s="208">
        <f>Y28</f>
        <v>0</v>
      </c>
      <c r="S55" s="208">
        <f>Y37</f>
        <v>0</v>
      </c>
      <c r="T55" s="478">
        <f t="shared" si="19"/>
        <v>0</v>
      </c>
      <c r="U55" s="480"/>
      <c r="V55" s="93"/>
      <c r="W55" s="247" t="s">
        <v>124</v>
      </c>
      <c r="X55" s="76"/>
      <c r="Y55" s="257">
        <f>IF(Instructions!A14=0,'P24'!Y55,FLOOR((ROUND(96*(AC26+Y48-Y42),0)/96)/20,1/24))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'P24'!T56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'P24'!T57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'P24'!B59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'P24'!B61</f>
        <v>____________________________</v>
      </c>
      <c r="C61" s="93"/>
      <c r="D61" s="93"/>
      <c r="E61" s="93"/>
      <c r="F61" s="93"/>
      <c r="G61" s="93"/>
      <c r="H61" s="250"/>
      <c r="I61" s="250">
        <f>'P24'!I61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'P24'!B62</f>
        <v xml:space="preserve">    Employee Signature</v>
      </c>
      <c r="C62" s="96"/>
      <c r="D62" s="96"/>
      <c r="E62" s="96"/>
      <c r="F62" s="96"/>
      <c r="G62" s="96"/>
      <c r="H62" s="96"/>
      <c r="I62" s="260">
        <f>'P24'!I62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23" priority="12" stopIfTrue="1" operator="equal">
      <formula>TODAY()</formula>
    </cfRule>
  </conditionalFormatting>
  <conditionalFormatting sqref="O23:V23 G23:M23">
    <cfRule type="cellIs" dxfId="22" priority="11" stopIfTrue="1" operator="equal">
      <formula>TODAY()</formula>
    </cfRule>
  </conditionalFormatting>
  <conditionalFormatting sqref="G12:M13 P12:V13">
    <cfRule type="cellIs" dxfId="21" priority="10" stopIfTrue="1" operator="equal">
      <formula>0</formula>
    </cfRule>
  </conditionalFormatting>
  <conditionalFormatting sqref="G46:N46 P46:W46 Y46 Y44 Y32:Y42 Y30 Y24:Y28">
    <cfRule type="cellIs" dxfId="20" priority="9" stopIfTrue="1" operator="equal">
      <formula>0</formula>
    </cfRule>
  </conditionalFormatting>
  <conditionalFormatting sqref="T53:U53">
    <cfRule type="cellIs" dxfId="19" priority="8" stopIfTrue="1" operator="greaterThan">
      <formula>1</formula>
    </cfRule>
  </conditionalFormatting>
  <conditionalFormatting sqref="G18:M20 P18:V20">
    <cfRule type="cellIs" dxfId="18" priority="7" operator="equal">
      <formula>0</formula>
    </cfRule>
  </conditionalFormatting>
  <conditionalFormatting sqref="G48:M48 P48:V48">
    <cfRule type="expression" dxfId="17" priority="4">
      <formula>G48&lt;&gt;G18</formula>
    </cfRule>
  </conditionalFormatting>
  <conditionalFormatting sqref="P48:V48">
    <cfRule type="expression" dxfId="16" priority="5">
      <formula>P48&lt;&gt;P18</formula>
    </cfRule>
  </conditionalFormatting>
  <conditionalFormatting sqref="G30:L30 M24 N24:N28 N30 P30:U30 V24 P24 W24:W28 W30 W32:W42 P48:W48 G48:N48 G32:G35 N32:N42 G44:N44 P44:W44 G24">
    <cfRule type="cellIs" dxfId="15" priority="6" operator="equal">
      <formula>0</formula>
    </cfRule>
  </conditionalFormatting>
  <conditionalFormatting sqref="H24:L24 Q24:U24">
    <cfRule type="cellIs" dxfId="14" priority="3" operator="equal">
      <formula>0</formula>
    </cfRule>
  </conditionalFormatting>
  <conditionalFormatting sqref="M30">
    <cfRule type="cellIs" dxfId="13" priority="2" operator="equal">
      <formula>0</formula>
    </cfRule>
  </conditionalFormatting>
  <conditionalFormatting sqref="V30">
    <cfRule type="cellIs" dxfId="12" priority="1" operator="equal">
      <formula>0</formula>
    </cfRule>
  </conditionalFormatting>
  <pageMargins left="0.25" right="0.25" top="0.54" bottom="0.25" header="0" footer="0"/>
  <pageSetup scale="89" orientation="landscape"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1:AI65"/>
  <sheetViews>
    <sheetView zoomScale="90" workbookViewId="0">
      <selection activeCell="H24" sqref="H24"/>
    </sheetView>
  </sheetViews>
  <sheetFormatPr defaultColWidth="9.125" defaultRowHeight="12.45" x14ac:dyDescent="0.2"/>
  <cols>
    <col min="1" max="1" width="1.375" style="89" customWidth="1"/>
    <col min="2" max="2" width="9.125" style="89"/>
    <col min="3" max="3" width="10.25" style="89" customWidth="1"/>
    <col min="4" max="4" width="4.375" style="89" customWidth="1"/>
    <col min="5" max="5" width="4.25" style="89" customWidth="1"/>
    <col min="6" max="6" width="0.625" style="89" customWidth="1"/>
    <col min="7" max="13" width="6.625" style="89" customWidth="1"/>
    <col min="14" max="14" width="8.375" style="89" customWidth="1"/>
    <col min="15" max="15" width="0.75" style="89" customWidth="1"/>
    <col min="16" max="22" width="6.625" style="89" customWidth="1"/>
    <col min="23" max="23" width="8.625" style="110" customWidth="1"/>
    <col min="24" max="24" width="0.75" style="110" customWidth="1"/>
    <col min="25" max="25" width="9.75" style="110" customWidth="1"/>
    <col min="26" max="26" width="1" style="89" customWidth="1"/>
    <col min="27" max="27" width="4.875" style="89" customWidth="1"/>
    <col min="28" max="28" width="7.875" style="89" customWidth="1"/>
    <col min="29" max="29" width="10.875" style="89" customWidth="1"/>
    <col min="30" max="30" width="9.125" style="89"/>
    <col min="31" max="31" width="8" style="89" customWidth="1"/>
    <col min="32" max="32" width="7.875" style="89" customWidth="1"/>
    <col min="33" max="16384" width="9.125" style="89"/>
  </cols>
  <sheetData>
    <row r="1" spans="1:35" ht="13.1" x14ac:dyDescent="0.25">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43087</v>
      </c>
      <c r="H3" s="120">
        <f t="shared" si="0"/>
        <v>43088</v>
      </c>
      <c r="I3" s="120">
        <f t="shared" si="0"/>
        <v>43089</v>
      </c>
      <c r="J3" s="120">
        <f t="shared" si="0"/>
        <v>43090</v>
      </c>
      <c r="K3" s="120">
        <f t="shared" si="0"/>
        <v>43091</v>
      </c>
      <c r="L3" s="120">
        <f t="shared" si="0"/>
        <v>43092</v>
      </c>
      <c r="M3" s="120">
        <f t="shared" si="0"/>
        <v>43093</v>
      </c>
      <c r="N3" s="120"/>
      <c r="O3" s="120"/>
      <c r="P3" s="120">
        <f t="shared" si="1"/>
        <v>43094</v>
      </c>
      <c r="Q3" s="120">
        <f t="shared" si="1"/>
        <v>43095</v>
      </c>
      <c r="R3" s="120">
        <f t="shared" si="1"/>
        <v>43096</v>
      </c>
      <c r="S3" s="120">
        <f t="shared" si="1"/>
        <v>43097</v>
      </c>
      <c r="T3" s="120">
        <f t="shared" si="1"/>
        <v>43098</v>
      </c>
      <c r="U3" s="120">
        <f t="shared" si="1"/>
        <v>43099</v>
      </c>
      <c r="V3" s="120">
        <f t="shared" si="1"/>
        <v>43100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ht="13.1" x14ac:dyDescent="0.25">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ht="13.1" x14ac:dyDescent="0.25">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8"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ht="13.1" x14ac:dyDescent="0.25">
      <c r="A15" s="93"/>
      <c r="B15" s="99" t="s">
        <v>105</v>
      </c>
      <c r="C15" s="90"/>
      <c r="D15" s="90"/>
      <c r="E15" s="90"/>
      <c r="F15" s="90"/>
      <c r="G15" s="90"/>
      <c r="H15" s="90"/>
      <c r="I15" s="90"/>
      <c r="J15" s="90"/>
      <c r="K15" s="91"/>
      <c r="L15" s="99" t="s">
        <v>104</v>
      </c>
      <c r="M15" s="90"/>
      <c r="N15" s="91"/>
      <c r="O15" s="91"/>
      <c r="P15" s="500" t="s">
        <v>103</v>
      </c>
      <c r="Q15" s="501"/>
      <c r="R15" s="106">
        <f>'P25'!R15+1</f>
        <v>26</v>
      </c>
      <c r="S15" s="90"/>
      <c r="T15" s="99" t="s">
        <v>180</v>
      </c>
      <c r="U15" s="90"/>
      <c r="V15" s="90"/>
      <c r="W15" s="139"/>
      <c r="X15" s="139"/>
      <c r="Y15" s="60"/>
      <c r="Z15" s="93"/>
      <c r="AA15" s="115"/>
      <c r="AB15" s="115"/>
      <c r="AC15" s="115"/>
      <c r="AD15" s="115"/>
      <c r="AE15" s="115"/>
      <c r="AF15" s="115"/>
      <c r="AG15" s="115"/>
      <c r="AH15" s="115"/>
      <c r="AI15" s="115"/>
    </row>
    <row r="16" spans="1:35" ht="13.1" x14ac:dyDescent="0.25">
      <c r="A16" s="93"/>
      <c r="B16" s="105" t="str">
        <f>+Instructions!A4</f>
        <v>Firstname Lastname</v>
      </c>
      <c r="C16" s="96"/>
      <c r="D16" s="96"/>
      <c r="E16" s="96"/>
      <c r="F16" s="96"/>
      <c r="G16" s="93"/>
      <c r="H16" s="96"/>
      <c r="I16" s="96"/>
      <c r="J16" s="96"/>
      <c r="K16" s="97"/>
      <c r="L16" s="114">
        <f>'P25'!L16</f>
        <v>2021</v>
      </c>
      <c r="M16" s="96"/>
      <c r="N16" s="97"/>
      <c r="O16" s="93"/>
      <c r="P16" s="143" t="s">
        <v>16</v>
      </c>
      <c r="Q16" s="113">
        <f>'P25'!Q16+14</f>
        <v>43087</v>
      </c>
      <c r="R16" s="144" t="s">
        <v>17</v>
      </c>
      <c r="S16" s="113">
        <f>Q16+13</f>
        <v>43100</v>
      </c>
      <c r="T16" s="485" t="s">
        <v>181</v>
      </c>
      <c r="U16" s="486"/>
      <c r="V16" s="371" t="s">
        <v>182</v>
      </c>
      <c r="W16" s="78"/>
      <c r="X16" s="78"/>
      <c r="Y16" s="77"/>
      <c r="Z16" s="93"/>
      <c r="AA16" s="115"/>
      <c r="AB16" s="115"/>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ht="13.1" x14ac:dyDescent="0.25">
      <c r="A18" s="93"/>
      <c r="B18" s="92"/>
      <c r="C18" s="93"/>
      <c r="D18" s="92"/>
      <c r="E18" s="102" t="s">
        <v>15</v>
      </c>
      <c r="F18" s="93"/>
      <c r="G18" s="326">
        <f>'P25'!G18</f>
        <v>0</v>
      </c>
      <c r="H18" s="326">
        <f>'P25'!H18</f>
        <v>0.33333333333333331</v>
      </c>
      <c r="I18" s="326">
        <f>'P25'!I18</f>
        <v>0.33333333333333331</v>
      </c>
      <c r="J18" s="326">
        <f>'P25'!J18</f>
        <v>0.33333333333333331</v>
      </c>
      <c r="K18" s="326">
        <f>'P25'!K18</f>
        <v>0.33333333333333331</v>
      </c>
      <c r="L18" s="326">
        <f>'P25'!L18</f>
        <v>0.33333333333333331</v>
      </c>
      <c r="M18" s="326">
        <f>'P25'!M18</f>
        <v>0</v>
      </c>
      <c r="N18" s="231">
        <f>SUM(G18:M18)</f>
        <v>1.6666666666666665</v>
      </c>
      <c r="O18" s="79"/>
      <c r="P18" s="326">
        <f>'P25'!P18</f>
        <v>0</v>
      </c>
      <c r="Q18" s="326">
        <f>'P25'!Q18</f>
        <v>0.33333333333333331</v>
      </c>
      <c r="R18" s="326">
        <f>'P25'!R18</f>
        <v>0.33333333333333331</v>
      </c>
      <c r="S18" s="326">
        <f>'P25'!S18</f>
        <v>0.33333333333333331</v>
      </c>
      <c r="T18" s="326">
        <f>'P25'!T18</f>
        <v>0.33333333333333331</v>
      </c>
      <c r="U18" s="326">
        <f>'P25'!U18</f>
        <v>0.33333333333333331</v>
      </c>
      <c r="V18" s="326">
        <f>'P25'!V18</f>
        <v>0</v>
      </c>
      <c r="W18" s="231">
        <f>SUM(P18:V18)</f>
        <v>1.6666666666666665</v>
      </c>
      <c r="X18" s="191"/>
      <c r="Y18" s="231">
        <f>N18+W18</f>
        <v>3.333333333333333</v>
      </c>
      <c r="Z18" s="92"/>
      <c r="AA18" s="115"/>
      <c r="AB18" s="229"/>
      <c r="AC18" s="116"/>
      <c r="AD18" s="115"/>
      <c r="AE18" s="115"/>
      <c r="AF18" s="115"/>
      <c r="AG18" s="115"/>
      <c r="AH18" s="115"/>
      <c r="AI18" s="115"/>
    </row>
    <row r="19" spans="1:35" ht="13.1" x14ac:dyDescent="0.25">
      <c r="A19" s="93"/>
      <c r="B19" s="92"/>
      <c r="C19" s="93"/>
      <c r="D19" s="93"/>
      <c r="E19" s="102" t="s">
        <v>50</v>
      </c>
      <c r="F19" s="93"/>
      <c r="G19" s="326">
        <f>'P25'!G19</f>
        <v>0</v>
      </c>
      <c r="H19" s="326">
        <f>'P25'!H19</f>
        <v>0.3125</v>
      </c>
      <c r="I19" s="326">
        <f>'P25'!I19</f>
        <v>0.3125</v>
      </c>
      <c r="J19" s="326">
        <f>'P25'!J19</f>
        <v>0.3125</v>
      </c>
      <c r="K19" s="326">
        <f>'P25'!K19</f>
        <v>0.3125</v>
      </c>
      <c r="L19" s="326">
        <f>'P25'!L19</f>
        <v>0.3125</v>
      </c>
      <c r="M19" s="326">
        <f>'P25'!M19</f>
        <v>0</v>
      </c>
      <c r="N19" s="87"/>
      <c r="O19" s="83"/>
      <c r="P19" s="326">
        <f>'P25'!P19</f>
        <v>0</v>
      </c>
      <c r="Q19" s="326">
        <f>'P25'!Q19</f>
        <v>0.3125</v>
      </c>
      <c r="R19" s="326">
        <f>'P25'!R19</f>
        <v>0.3125</v>
      </c>
      <c r="S19" s="326">
        <f>'P25'!S19</f>
        <v>0.3125</v>
      </c>
      <c r="T19" s="326">
        <f>'P25'!T19</f>
        <v>0.3125</v>
      </c>
      <c r="U19" s="326">
        <f>'P25'!U19</f>
        <v>0.3125</v>
      </c>
      <c r="V19" s="326">
        <f>'P25'!V19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'P25'!G20</f>
        <v>0</v>
      </c>
      <c r="H20" s="326">
        <f>'P25'!H20</f>
        <v>0.1875</v>
      </c>
      <c r="I20" s="326">
        <f>'P25'!I20</f>
        <v>0.1875</v>
      </c>
      <c r="J20" s="326">
        <f>'P25'!J20</f>
        <v>0.1875</v>
      </c>
      <c r="K20" s="326">
        <f>'P25'!K20</f>
        <v>0.1875</v>
      </c>
      <c r="L20" s="326">
        <f>'P25'!L20</f>
        <v>0.1875</v>
      </c>
      <c r="M20" s="326">
        <f>'P25'!M20</f>
        <v>0</v>
      </c>
      <c r="N20" s="112"/>
      <c r="O20" s="245"/>
      <c r="P20" s="326">
        <f>'P25'!P20</f>
        <v>0</v>
      </c>
      <c r="Q20" s="326">
        <f>'P25'!Q20</f>
        <v>0.1875</v>
      </c>
      <c r="R20" s="326">
        <f>'P25'!R20</f>
        <v>0.1875</v>
      </c>
      <c r="S20" s="326">
        <f>'P25'!S20</f>
        <v>0.1875</v>
      </c>
      <c r="T20" s="326">
        <f>'P25'!T20</f>
        <v>0.1875</v>
      </c>
      <c r="U20" s="326">
        <f>'P25'!U20</f>
        <v>0.1875</v>
      </c>
      <c r="V20" s="326">
        <f>'P25'!V20</f>
        <v>0</v>
      </c>
      <c r="W20" s="81"/>
      <c r="X20" s="112"/>
      <c r="Y20" s="88"/>
      <c r="Z20" s="92"/>
      <c r="AA20" s="115"/>
      <c r="AB20" s="115"/>
      <c r="AC20" s="115"/>
      <c r="AD20" s="115"/>
      <c r="AE20" s="115"/>
      <c r="AF20" s="115"/>
      <c r="AG20" s="115"/>
      <c r="AH20" s="115"/>
      <c r="AI20" s="115"/>
    </row>
    <row r="21" spans="1:35" ht="16.55" customHeight="1" x14ac:dyDescent="0.25">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3">
      <c r="A23" s="93"/>
      <c r="B23" s="496" t="s">
        <v>106</v>
      </c>
      <c r="C23" s="497"/>
      <c r="D23" s="174"/>
      <c r="E23" s="174"/>
      <c r="F23" s="101"/>
      <c r="G23" s="175">
        <f>+Q16</f>
        <v>43087</v>
      </c>
      <c r="H23" s="175">
        <f t="shared" ref="H23:M23" si="4">G23+1</f>
        <v>43088</v>
      </c>
      <c r="I23" s="175">
        <f t="shared" si="4"/>
        <v>43089</v>
      </c>
      <c r="J23" s="175">
        <f t="shared" si="4"/>
        <v>43090</v>
      </c>
      <c r="K23" s="175">
        <f t="shared" si="4"/>
        <v>43091</v>
      </c>
      <c r="L23" s="175">
        <f t="shared" si="4"/>
        <v>43092</v>
      </c>
      <c r="M23" s="175">
        <f t="shared" si="4"/>
        <v>43093</v>
      </c>
      <c r="N23" s="176"/>
      <c r="O23" s="84"/>
      <c r="P23" s="175">
        <f>M23+1</f>
        <v>43094</v>
      </c>
      <c r="Q23" s="175">
        <f t="shared" ref="Q23:V23" si="5">P23+1</f>
        <v>43095</v>
      </c>
      <c r="R23" s="175">
        <f t="shared" si="5"/>
        <v>43096</v>
      </c>
      <c r="S23" s="175">
        <f t="shared" si="5"/>
        <v>43097</v>
      </c>
      <c r="T23" s="175">
        <f t="shared" si="5"/>
        <v>43098</v>
      </c>
      <c r="U23" s="175">
        <f t="shared" si="5"/>
        <v>43099</v>
      </c>
      <c r="V23" s="175">
        <f t="shared" si="5"/>
        <v>43100</v>
      </c>
      <c r="W23" s="176"/>
      <c r="X23" s="176"/>
      <c r="Y23" s="347"/>
      <c r="Z23" s="92"/>
      <c r="AA23" s="115"/>
      <c r="AB23" s="47"/>
      <c r="AC23" s="484" t="s">
        <v>62</v>
      </c>
      <c r="AD23" s="484"/>
      <c r="AE23" s="115"/>
      <c r="AF23" s="115"/>
      <c r="AG23" s="115"/>
      <c r="AH23" s="115"/>
      <c r="AI23" s="115"/>
    </row>
    <row r="24" spans="1:35" ht="13.6" customHeight="1" x14ac:dyDescent="0.25">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6" customHeight="1" x14ac:dyDescent="0.25">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'P25'!AD25</f>
        <v>0.16666666666666666</v>
      </c>
      <c r="AD25" s="229">
        <f>MOD(ROUND(96*(AC25+Y48-Y42),0)/96,Instructions!C14)</f>
        <v>0</v>
      </c>
      <c r="AE25" s="115" t="s">
        <v>187</v>
      </c>
      <c r="AF25" s="115"/>
      <c r="AG25" s="115"/>
      <c r="AH25" s="115"/>
      <c r="AI25" s="115"/>
    </row>
    <row r="26" spans="1:35" ht="13.6" customHeight="1" x14ac:dyDescent="0.25">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'P25'!AD26</f>
        <v>0.16666666666666666</v>
      </c>
      <c r="AD26" s="229">
        <f>MOD(ROUND(96*(AC26+Y48-Y42),0)/96,20/24)</f>
        <v>0</v>
      </c>
      <c r="AE26" s="115" t="s">
        <v>186</v>
      </c>
      <c r="AF26" s="115"/>
      <c r="AG26" s="115"/>
      <c r="AH26" s="115"/>
      <c r="AI26" s="115"/>
    </row>
    <row r="27" spans="1:35" ht="13.6" customHeight="1" x14ac:dyDescent="0.25">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6" customHeight="1" x14ac:dyDescent="0.25">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8" customHeight="1" x14ac:dyDescent="0.25">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6" customHeight="1" thickBot="1" x14ac:dyDescent="0.3">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3" customHeight="1" thickBot="1" x14ac:dyDescent="0.3">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6" customHeight="1" x14ac:dyDescent="0.25">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6" customHeight="1" x14ac:dyDescent="0.25">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4.3333333333333321</v>
      </c>
      <c r="AC33" s="115"/>
      <c r="AD33" s="115"/>
      <c r="AE33" s="115"/>
      <c r="AF33" s="115"/>
      <c r="AG33" s="115"/>
      <c r="AH33" s="115"/>
      <c r="AI33" s="115"/>
    </row>
    <row r="34" spans="1:35" ht="13.6" customHeight="1" x14ac:dyDescent="0.25">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4.3333333333333321</v>
      </c>
      <c r="AC34" s="258" t="s">
        <v>139</v>
      </c>
      <c r="AD34" s="115"/>
      <c r="AE34" s="115"/>
      <c r="AF34" s="115"/>
      <c r="AG34" s="115"/>
      <c r="AH34" s="115"/>
      <c r="AI34" s="115"/>
    </row>
    <row r="35" spans="1:35" ht="13.6" customHeight="1" x14ac:dyDescent="0.25">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'P25'!AC37</f>
        <v>0</v>
      </c>
      <c r="AD35" s="115" t="s">
        <v>77</v>
      </c>
      <c r="AE35" s="115"/>
      <c r="AF35" s="115"/>
      <c r="AG35" s="115"/>
      <c r="AH35" s="115"/>
      <c r="AI35" s="115"/>
    </row>
    <row r="36" spans="1:35" ht="13.6" customHeight="1" x14ac:dyDescent="0.25">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6" customHeight="1" x14ac:dyDescent="0.25">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6" customHeight="1" x14ac:dyDescent="0.25">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6" customHeight="1" x14ac:dyDescent="0.25">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6" customHeight="1" x14ac:dyDescent="0.25">
      <c r="A40" s="93"/>
      <c r="B40" s="146" t="s">
        <v>121</v>
      </c>
      <c r="C40" s="147"/>
      <c r="D40" s="136"/>
      <c r="E40" s="136"/>
      <c r="F40" s="153"/>
      <c r="G40" s="205"/>
      <c r="H40" s="351"/>
      <c r="I40" s="330"/>
      <c r="J40" s="330"/>
      <c r="K40" s="330"/>
      <c r="L40" s="330">
        <v>0.33333333333333331</v>
      </c>
      <c r="M40" s="205"/>
      <c r="N40" s="234">
        <f t="shared" si="7"/>
        <v>0.33333333333333331</v>
      </c>
      <c r="O40" s="154"/>
      <c r="P40" s="205"/>
      <c r="Q40" s="351"/>
      <c r="R40" s="330"/>
      <c r="S40" s="330"/>
      <c r="T40" s="330"/>
      <c r="U40" s="330">
        <v>0.33333333333333331</v>
      </c>
      <c r="V40" s="205"/>
      <c r="W40" s="234">
        <f t="shared" si="12"/>
        <v>0.33333333333333331</v>
      </c>
      <c r="X40" s="130"/>
      <c r="Y40" s="240">
        <f t="shared" si="9"/>
        <v>0.66666666666666663</v>
      </c>
      <c r="Z40" s="92"/>
      <c r="AA40" s="115"/>
      <c r="AB40" s="115"/>
      <c r="AC40" s="115"/>
      <c r="AD40" s="115"/>
      <c r="AE40" s="115"/>
      <c r="AF40" s="115"/>
      <c r="AG40" s="115"/>
      <c r="AH40" s="115"/>
      <c r="AI40" s="115"/>
    </row>
    <row r="41" spans="1:35" ht="13.6" customHeight="1" x14ac:dyDescent="0.25">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6" customHeight="1" x14ac:dyDescent="0.25">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5999999999999996" customHeight="1" x14ac:dyDescent="0.25">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6" customHeight="1" thickBot="1" x14ac:dyDescent="0.3">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0.33333333333333331</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0.33333333333333331</v>
      </c>
      <c r="V44" s="353">
        <f t="shared" si="14"/>
        <v>0</v>
      </c>
      <c r="W44" s="235">
        <f t="shared" si="12"/>
        <v>0.33333333333333331</v>
      </c>
      <c r="X44" s="173"/>
      <c r="Y44" s="334">
        <f t="shared" si="9"/>
        <v>0.66666666666666663</v>
      </c>
      <c r="Z44" s="92"/>
      <c r="AA44" s="115"/>
      <c r="AB44" s="115"/>
      <c r="AC44" s="115"/>
      <c r="AD44" s="115"/>
      <c r="AE44" s="115"/>
      <c r="AF44" s="115"/>
      <c r="AG44" s="115"/>
      <c r="AH44" s="115"/>
      <c r="AI44" s="115"/>
    </row>
    <row r="45" spans="1:35" ht="4.5999999999999996" customHeight="1" x14ac:dyDescent="0.25">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05" customHeight="1" x14ac:dyDescent="0.25">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0.33333333333333331</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0.33333333333333331</v>
      </c>
      <c r="V46" s="259">
        <f t="shared" si="16"/>
        <v>0</v>
      </c>
      <c r="W46" s="240">
        <f>SUM(P46:V46)</f>
        <v>0.33333333333333331</v>
      </c>
      <c r="X46" s="156"/>
      <c r="Y46" s="240">
        <f t="shared" si="9"/>
        <v>0.66666666666666663</v>
      </c>
      <c r="Z46" s="93"/>
      <c r="AA46" s="115"/>
      <c r="AB46" s="344" t="s">
        <v>136</v>
      </c>
      <c r="AC46" s="115"/>
      <c r="AD46" s="115"/>
      <c r="AE46" s="115"/>
      <c r="AF46" s="115"/>
      <c r="AG46" s="115"/>
      <c r="AH46" s="115"/>
      <c r="AI46" s="115"/>
    </row>
    <row r="47" spans="1:35" ht="5.25" customHeight="1" x14ac:dyDescent="0.25">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6" customHeight="1" thickBot="1" x14ac:dyDescent="0.3">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0.33333333333333331</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0.33333333333333331</v>
      </c>
      <c r="V48" s="292">
        <f t="shared" si="18"/>
        <v>0</v>
      </c>
      <c r="W48" s="235">
        <f>SUM(P48:V48)</f>
        <v>0.33333333333333331</v>
      </c>
      <c r="X48" s="173"/>
      <c r="Y48" s="238">
        <f t="shared" si="9"/>
        <v>0.66666666666666663</v>
      </c>
      <c r="Z48" s="93"/>
      <c r="AA48" s="115"/>
      <c r="AB48" s="345" t="s">
        <v>137</v>
      </c>
      <c r="AC48" s="115"/>
      <c r="AD48" s="115"/>
      <c r="AE48" s="115"/>
      <c r="AF48" s="115"/>
      <c r="AG48" s="115"/>
      <c r="AH48" s="115"/>
      <c r="AI48" s="115"/>
    </row>
    <row r="49" spans="1:35" ht="6.75" customHeight="1" thickBot="1" x14ac:dyDescent="0.3">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6" customHeight="1" thickBot="1" x14ac:dyDescent="0.3">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6" customHeight="1" x14ac:dyDescent="0.25">
      <c r="A51" s="93"/>
      <c r="B51" s="92"/>
      <c r="C51" s="93"/>
      <c r="D51" s="93"/>
      <c r="E51" s="93"/>
      <c r="F51" s="93"/>
      <c r="G51" s="93"/>
      <c r="H51" s="93"/>
      <c r="I51" s="93"/>
      <c r="J51" s="93"/>
      <c r="L51" s="490" t="s">
        <v>18</v>
      </c>
      <c r="M51" s="491"/>
      <c r="N51" s="491"/>
      <c r="O51" s="492"/>
      <c r="P51" s="494">
        <f>'P25'!T51</f>
        <v>4.1666666666666652</v>
      </c>
      <c r="Q51" s="505"/>
      <c r="R51" s="207">
        <f>+Y54*AC38</f>
        <v>0.16666666666666666</v>
      </c>
      <c r="S51" s="207">
        <f>Y33+Y51</f>
        <v>0</v>
      </c>
      <c r="T51" s="494">
        <f t="shared" ref="T51:T56" si="19">P51+R51-S51</f>
        <v>4.3333333333333321</v>
      </c>
      <c r="U51" s="495"/>
      <c r="V51" s="93"/>
      <c r="W51" s="247" t="s">
        <v>120</v>
      </c>
      <c r="X51" s="76"/>
      <c r="Y51" s="257">
        <v>0</v>
      </c>
      <c r="Z51" s="93"/>
      <c r="AA51" s="115"/>
      <c r="AB51" s="294" t="s">
        <v>131</v>
      </c>
      <c r="AC51" s="115"/>
      <c r="AD51" s="115"/>
      <c r="AE51" s="115"/>
      <c r="AF51" s="115"/>
      <c r="AG51" s="115"/>
      <c r="AH51" s="115"/>
      <c r="AI51" s="115"/>
    </row>
    <row r="52" spans="1:35" ht="13.6" customHeight="1" x14ac:dyDescent="0.25">
      <c r="A52" s="93"/>
      <c r="B52" s="92"/>
      <c r="C52" s="93"/>
      <c r="D52" s="93"/>
      <c r="E52" s="93"/>
      <c r="F52" s="93"/>
      <c r="G52" s="93"/>
      <c r="H52" s="93"/>
      <c r="I52" s="76"/>
      <c r="J52" s="93"/>
      <c r="L52" s="472" t="s">
        <v>19</v>
      </c>
      <c r="M52" s="473"/>
      <c r="N52" s="473"/>
      <c r="O52" s="474"/>
      <c r="P52" s="478">
        <f>'P25'!T52</f>
        <v>4.1666666666666652</v>
      </c>
      <c r="Q52" s="493"/>
      <c r="R52" s="208">
        <f>+Y55*AC38</f>
        <v>0.16666666666666666</v>
      </c>
      <c r="S52" s="207">
        <f>Y34+Y35</f>
        <v>0</v>
      </c>
      <c r="T52" s="478">
        <f t="shared" si="19"/>
        <v>4.3333333333333321</v>
      </c>
      <c r="U52" s="480"/>
      <c r="V52" s="93"/>
      <c r="W52" s="76"/>
      <c r="X52" s="76"/>
      <c r="Y52" s="256"/>
      <c r="Z52" s="93"/>
      <c r="AA52" s="115"/>
      <c r="AB52" s="115"/>
      <c r="AC52" s="115"/>
      <c r="AD52" s="115"/>
      <c r="AE52" s="115"/>
      <c r="AF52" s="115"/>
      <c r="AG52" s="115"/>
      <c r="AH52" s="115"/>
      <c r="AI52" s="115"/>
    </row>
    <row r="53" spans="1:35" ht="13.6" customHeight="1" x14ac:dyDescent="0.25">
      <c r="A53" s="93"/>
      <c r="B53" s="92"/>
      <c r="C53" s="93"/>
      <c r="D53" s="93"/>
      <c r="E53" s="93"/>
      <c r="F53" s="93"/>
      <c r="G53" s="93"/>
      <c r="H53" s="93"/>
      <c r="I53" s="76"/>
      <c r="J53" s="93"/>
      <c r="L53" s="472" t="s">
        <v>20</v>
      </c>
      <c r="M53" s="473"/>
      <c r="N53" s="473"/>
      <c r="O53" s="474"/>
      <c r="P53" s="478">
        <f>MIN(Instructions!$C$7,'P25'!T53)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6" customHeight="1" x14ac:dyDescent="0.25">
      <c r="A54" s="93"/>
      <c r="B54" s="92"/>
      <c r="C54" s="93"/>
      <c r="D54" s="93"/>
      <c r="E54" s="93"/>
      <c r="F54" s="249"/>
      <c r="G54" s="93"/>
      <c r="H54" s="93"/>
      <c r="I54" s="76"/>
      <c r="J54" s="93"/>
      <c r="L54" s="472" t="s">
        <v>100</v>
      </c>
      <c r="M54" s="473"/>
      <c r="N54" s="473"/>
      <c r="O54" s="474"/>
      <c r="P54" s="478">
        <f>'P25'!T54</f>
        <v>0</v>
      </c>
      <c r="Q54" s="493"/>
      <c r="R54" s="208">
        <f>Y27</f>
        <v>0</v>
      </c>
      <c r="S54" s="208">
        <f>Y36</f>
        <v>0</v>
      </c>
      <c r="T54" s="478">
        <f t="shared" si="19"/>
        <v>0</v>
      </c>
      <c r="U54" s="480"/>
      <c r="V54" s="93"/>
      <c r="W54" s="247" t="s">
        <v>123</v>
      </c>
      <c r="X54" s="76"/>
      <c r="Y54" s="257">
        <f>IF(Instructions!A14=0,IF('P25'!Y54=TIME(10,0,0),TIME(6,0,0),'P25'!Y54),FLOOR((ROUND(96*(AC25+Y48-Y42),0)/96)/Instructions!C14,1)/24)</f>
        <v>0.16666666666666666</v>
      </c>
      <c r="Z54" s="93"/>
      <c r="AA54" s="115"/>
      <c r="AB54" s="115"/>
      <c r="AC54" s="115"/>
      <c r="AD54" s="115"/>
      <c r="AE54" s="115"/>
      <c r="AF54" s="115"/>
      <c r="AG54" s="115"/>
      <c r="AH54" s="115"/>
      <c r="AI54" s="115"/>
    </row>
    <row r="55" spans="1:35" ht="13.1" x14ac:dyDescent="0.25">
      <c r="A55" s="93"/>
      <c r="B55" s="92"/>
      <c r="C55" s="93"/>
      <c r="D55" s="93"/>
      <c r="E55" s="93"/>
      <c r="F55" s="93"/>
      <c r="G55" s="93"/>
      <c r="H55" s="93"/>
      <c r="I55" s="93"/>
      <c r="J55" s="93"/>
      <c r="L55" s="472" t="s">
        <v>90</v>
      </c>
      <c r="M55" s="473"/>
      <c r="N55" s="473"/>
      <c r="O55" s="474"/>
      <c r="P55" s="478">
        <f>'P25'!T55</f>
        <v>0</v>
      </c>
      <c r="Q55" s="493"/>
      <c r="R55" s="208">
        <f>Y28</f>
        <v>0</v>
      </c>
      <c r="S55" s="208">
        <f>Y37</f>
        <v>0</v>
      </c>
      <c r="T55" s="478">
        <f t="shared" si="19"/>
        <v>0</v>
      </c>
      <c r="U55" s="480"/>
      <c r="V55" s="93"/>
      <c r="W55" s="247" t="s">
        <v>124</v>
      </c>
      <c r="X55" s="76"/>
      <c r="Y55" s="257">
        <f>IF(Instructions!A14=0,'P25'!Y55,FLOOR((ROUND(96*(AC26+Y48-Y42),0)/96)/20,1/24))</f>
        <v>0.16666666666666666</v>
      </c>
      <c r="Z55" s="93"/>
      <c r="AA55" s="115"/>
      <c r="AB55" s="115"/>
      <c r="AC55" s="115"/>
      <c r="AD55" s="115"/>
      <c r="AE55" s="115"/>
      <c r="AF55" s="115"/>
      <c r="AG55" s="115"/>
      <c r="AH55" s="115"/>
      <c r="AI55" s="115"/>
    </row>
    <row r="56" spans="1:35" ht="13.1" x14ac:dyDescent="0.25">
      <c r="A56" s="93"/>
      <c r="B56" s="92"/>
      <c r="C56" s="93"/>
      <c r="D56" s="93"/>
      <c r="E56" s="93"/>
      <c r="F56" s="93"/>
      <c r="G56" s="93"/>
      <c r="H56" s="93"/>
      <c r="I56" s="93"/>
      <c r="J56" s="93"/>
      <c r="L56" s="472" t="s">
        <v>72</v>
      </c>
      <c r="M56" s="473"/>
      <c r="N56" s="473"/>
      <c r="O56" s="474"/>
      <c r="P56" s="478">
        <f>'P25'!T56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75" thickBot="1" x14ac:dyDescent="0.3">
      <c r="A57" s="93"/>
      <c r="B57" s="92"/>
      <c r="C57" s="93"/>
      <c r="J57" s="93"/>
      <c r="L57" s="475" t="s">
        <v>132</v>
      </c>
      <c r="M57" s="476"/>
      <c r="N57" s="476"/>
      <c r="O57" s="477"/>
      <c r="P57" s="481">
        <f>'P25'!T57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75" thickBot="1" x14ac:dyDescent="0.3">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ht="13.1" x14ac:dyDescent="0.25">
      <c r="A59" s="93"/>
      <c r="B59" s="4" t="str">
        <f>'P25'!B59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ht="13.1" x14ac:dyDescent="0.25">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75" thickBot="1" x14ac:dyDescent="0.3">
      <c r="A61" s="93"/>
      <c r="B61" s="92" t="str">
        <f>'P25'!B61</f>
        <v>____________________________</v>
      </c>
      <c r="C61" s="93"/>
      <c r="D61" s="93"/>
      <c r="E61" s="93"/>
      <c r="F61" s="93"/>
      <c r="G61" s="93"/>
      <c r="H61" s="250"/>
      <c r="I61" s="250">
        <f>'P25'!I61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'P25'!B62</f>
        <v xml:space="preserve">    Employee Signature</v>
      </c>
      <c r="C62" s="96"/>
      <c r="D62" s="96"/>
      <c r="E62" s="96"/>
      <c r="F62" s="96"/>
      <c r="G62" s="96"/>
      <c r="H62" s="96"/>
      <c r="I62" s="260">
        <f>'P25'!I62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0.33333333333333331</v>
      </c>
      <c r="M65" s="384">
        <f t="shared" si="20"/>
        <v>0</v>
      </c>
      <c r="N65" s="360"/>
      <c r="O65" s="360"/>
      <c r="P65" s="384">
        <f t="shared" ref="P65:V65" si="21">P30+SUM(P32:P41)</f>
        <v>0</v>
      </c>
      <c r="Q65" s="384">
        <f t="shared" si="21"/>
        <v>0</v>
      </c>
      <c r="R65" s="384">
        <f t="shared" si="21"/>
        <v>0</v>
      </c>
      <c r="S65" s="384">
        <f t="shared" si="21"/>
        <v>0</v>
      </c>
      <c r="T65" s="384">
        <f t="shared" si="21"/>
        <v>0</v>
      </c>
      <c r="U65" s="384">
        <f t="shared" si="21"/>
        <v>0.33333333333333331</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1" priority="12" stopIfTrue="1" operator="equal">
      <formula>TODAY()</formula>
    </cfRule>
  </conditionalFormatting>
  <conditionalFormatting sqref="O23:V23 G23:M23">
    <cfRule type="cellIs" dxfId="10" priority="11" stopIfTrue="1" operator="equal">
      <formula>TODAY()</formula>
    </cfRule>
  </conditionalFormatting>
  <conditionalFormatting sqref="G12:M13 P12:V13">
    <cfRule type="cellIs" dxfId="9" priority="10" stopIfTrue="1" operator="equal">
      <formula>0</formula>
    </cfRule>
  </conditionalFormatting>
  <conditionalFormatting sqref="G46:N46 P46:W46 Y46 Y44 Y32:Y42 Y30 Y24:Y28">
    <cfRule type="cellIs" dxfId="8" priority="9" stopIfTrue="1" operator="equal">
      <formula>0</formula>
    </cfRule>
  </conditionalFormatting>
  <conditionalFormatting sqref="T53:U53">
    <cfRule type="cellIs" dxfId="7" priority="8" stopIfTrue="1" operator="greaterThan">
      <formula>1</formula>
    </cfRule>
  </conditionalFormatting>
  <conditionalFormatting sqref="G18:M20 P18:V20">
    <cfRule type="cellIs" dxfId="6" priority="7" operator="equal">
      <formula>0</formula>
    </cfRule>
  </conditionalFormatting>
  <conditionalFormatting sqref="G48:M48 P48:V48">
    <cfRule type="expression" dxfId="5" priority="4">
      <formula>G48&lt;&gt;G18</formula>
    </cfRule>
  </conditionalFormatting>
  <conditionalFormatting sqref="P48:V48">
    <cfRule type="expression" dxfId="4" priority="5">
      <formula>P48&lt;&gt;P18</formula>
    </cfRule>
  </conditionalFormatting>
  <conditionalFormatting sqref="G30:L30 M24 N24:N28 N30 P30:U30 V24 P24 W24:W28 W30 W32:W42 P48:W48 G48:N48 G32:G35 N32:N42 G44:N44 P44:W44 G24">
    <cfRule type="cellIs" dxfId="3" priority="6" operator="equal">
      <formula>0</formula>
    </cfRule>
  </conditionalFormatting>
  <conditionalFormatting sqref="H24:L24 Q24:U24">
    <cfRule type="cellIs" dxfId="2" priority="3" operator="equal">
      <formula>0</formula>
    </cfRule>
  </conditionalFormatting>
  <conditionalFormatting sqref="M30">
    <cfRule type="cellIs" dxfId="1" priority="2" operator="equal">
      <formula>0</formula>
    </cfRule>
  </conditionalFormatting>
  <conditionalFormatting sqref="V30">
    <cfRule type="cellIs" dxfId="0" priority="1" operator="equal">
      <formula>0</formula>
    </cfRule>
  </conditionalFormatting>
  <pageMargins left="0.25" right="0.25" top="0.54" bottom="0.25" header="0" footer="0"/>
  <pageSetup scale="89" orientation="landscape"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00B45357A803C84D8FAB65BAC71BE391" ma:contentTypeVersion="4" ma:contentTypeDescription="Create a new document." ma:contentTypeScope="" ma:versionID="fc77a19b1ddb2bb8ba4e39d2f43bfadf">
  <xsd:schema xmlns:xsd="http://www.w3.org/2001/XMLSchema" xmlns:xs="http://www.w3.org/2001/XMLSchema" xmlns:p="http://schemas.microsoft.com/office/2006/metadata/properties" xmlns:ns1="http://schemas.microsoft.com/sharepoint/v3" xmlns:ns2="27c69252-c240-420e-b423-1582ff2d0cce" targetNamespace="http://schemas.microsoft.com/office/2006/metadata/properties" ma:root="true" ma:fieldsID="a5cf5352d091ecae4d0771b31d795ffd" ns1:_="" ns2:_="">
    <xsd:import namespace="http://schemas.microsoft.com/sharepoint/v3"/>
    <xsd:import namespace="27c69252-c240-420e-b423-1582ff2d0cce"/>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7c69252-c240-420e-b423-1582ff2d0cc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27c69252-c240-420e-b423-1582ff2d0cce">6AE3PM7N5MFW-149-1367</_dlc_DocId>
    <_dlc_DocIdUrl xmlns="27c69252-c240-420e-b423-1582ff2d0cce">
      <Url>https://axon.ars.usda.gov/Employee Tools/_layouts/15/DocIdRedir.aspx?ID=6AE3PM7N5MFW-149-1367</Url>
      <Description>6AE3PM7N5MFW-149-1367</Description>
    </_dlc_DocIdUrl>
  </documentManagement>
</p:properties>
</file>

<file path=customXml/itemProps1.xml><?xml version="1.0" encoding="utf-8"?>
<ds:datastoreItem xmlns:ds="http://schemas.openxmlformats.org/officeDocument/2006/customXml" ds:itemID="{D588C6D9-DC5E-4DFD-8277-AC4AD6FB6D1A}">
  <ds:schemaRefs>
    <ds:schemaRef ds:uri="http://schemas.microsoft.com/sharepoint/v3/contenttype/forms"/>
  </ds:schemaRefs>
</ds:datastoreItem>
</file>

<file path=customXml/itemProps2.xml><?xml version="1.0" encoding="utf-8"?>
<ds:datastoreItem xmlns:ds="http://schemas.openxmlformats.org/officeDocument/2006/customXml" ds:itemID="{B3279131-C287-49AF-8AAD-E40552D1DB11}">
  <ds:schemaRefs>
    <ds:schemaRef ds:uri="http://schemas.microsoft.com/sharepoint/events"/>
  </ds:schemaRefs>
</ds:datastoreItem>
</file>

<file path=customXml/itemProps3.xml><?xml version="1.0" encoding="utf-8"?>
<ds:datastoreItem xmlns:ds="http://schemas.openxmlformats.org/officeDocument/2006/customXml" ds:itemID="{FAFB8297-850C-4EE5-AE44-888D4BCDC7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7c69252-c240-420e-b423-1582ff2d0c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5FEBCD4-1D1B-4280-AABA-2792AE8BDA71}">
  <ds:schemaRefs>
    <ds:schemaRef ds:uri="http://purl.org/dc/elements/1.1/"/>
    <ds:schemaRef ds:uri="http://schemas.microsoft.com/sharepoint/v3"/>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27c69252-c240-420e-b423-1582ff2d0cce"/>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27</vt:i4>
      </vt:variant>
    </vt:vector>
  </HeadingPairs>
  <TitlesOfParts>
    <vt:vector size="58" baseType="lpstr">
      <vt:lpstr>Instructions</vt:lpstr>
      <vt:lpstr>LATracker Instructions</vt:lpstr>
      <vt:lpstr>LATrackerALL</vt:lpstr>
      <vt:lpstr>LATrackerReport</vt:lpstr>
      <vt:lpstr>Leave Record</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Instructions!Print_Area</vt:lpstr>
      <vt:lpstr>'P1'!Print_Area</vt:lpstr>
      <vt:lpstr>'P10'!Print_Area</vt:lpstr>
      <vt:lpstr>'P11'!Print_Area</vt:lpstr>
      <vt:lpstr>'P12'!Print_Area</vt:lpstr>
      <vt:lpstr>'P13'!Print_Area</vt:lpstr>
      <vt:lpstr>'P14'!Print_Area</vt:lpstr>
      <vt:lpstr>'P15'!Print_Area</vt:lpstr>
      <vt:lpstr>'P16'!Print_Area</vt:lpstr>
      <vt:lpstr>'P17'!Print_Area</vt:lpstr>
      <vt:lpstr>'P18'!Print_Area</vt:lpstr>
      <vt:lpstr>'P19'!Print_Area</vt:lpstr>
      <vt:lpstr>'P2'!Print_Area</vt:lpstr>
      <vt:lpstr>'P20'!Print_Area</vt:lpstr>
      <vt:lpstr>'P21'!Print_Area</vt:lpstr>
      <vt:lpstr>'P22'!Print_Area</vt:lpstr>
      <vt:lpstr>'P23'!Print_Area</vt:lpstr>
      <vt:lpstr>'P24'!Print_Area</vt:lpstr>
      <vt:lpstr>'P25'!Print_Area</vt:lpstr>
      <vt:lpstr>'P26'!Print_Area</vt:lpstr>
      <vt:lpstr>'P3'!Print_Area</vt:lpstr>
      <vt:lpstr>'P4'!Print_Area</vt:lpstr>
      <vt:lpstr>'P5'!Print_Area</vt:lpstr>
      <vt:lpstr>'P6'!Print_Area</vt:lpstr>
      <vt:lpstr>'P7'!Print_Area</vt:lpstr>
      <vt:lpstr>'P8'!Print_Area</vt:lpstr>
      <vt:lpstr>'P9'!Print_Area</vt:lpstr>
    </vt:vector>
  </TitlesOfParts>
  <Company>USDA-ARS-NCSCRL, Morris, MN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Time &amp; Attendance (ARS-331)</dc:title>
  <dc:creator>USDA-ARS-NCSCRL</dc:creator>
  <dc:description>Send bug reports to: Larry.Winkelman@ars.usda.gov</dc:description>
  <cp:lastModifiedBy>Perez, Allen - ARS</cp:lastModifiedBy>
  <cp:lastPrinted>2012-02-10T23:20:20Z</cp:lastPrinted>
  <dcterms:created xsi:type="dcterms:W3CDTF">1998-01-09T15:40:46Z</dcterms:created>
  <dcterms:modified xsi:type="dcterms:W3CDTF">2021-01-13T22:05:09Z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0x01010000B45357A803C84D8FAB65BAC71BE391</vt:lpwstr>
  </property>
  <property fmtid="{D5CDD505-2E9C-101B-9397-08002B2CF9AE}" pid="3" name="_dlc_DocIdItemGuid">
    <vt:lpwstr>6acfd5ed-c312-4fd7-8fde-459b52e38ea8</vt:lpwstr>
  </property>
</Properties>
</file>